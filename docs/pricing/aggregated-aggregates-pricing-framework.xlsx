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ategory Markup Bands" sheetId="2" state="visible" r:id="rId4"/>
    <sheet name="Customer Tiers" sheetId="3" state="visible" r:id="rId5"/>
    <sheet name="Delivery &amp; Additional Charges" sheetId="4" state="visible" r:id="rId6"/>
    <sheet name="Competitive Benchmark" sheetId="5" state="visible" r:id="rId7"/>
    <sheet name="Sample Priced Catalogu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<sst xmlns="http://schemas.openxmlformats.org/spreadsheetml/2006/main" count="275" uniqueCount="168">
  <si>
    <t xml:space="preserve">AGGREGATED AGGREGATES — PRICING FRAMEWORK</t>
  </si>
  <si>
    <t xml:space="preserve">A Specialised Operating Division of Besbpo Group</t>
  </si>
  <si>
    <t xml:space="preserve">Version 1.0 — August 2026</t>
  </si>
  <si>
    <t xml:space="preserve">How this workbook is structured</t>
  </si>
  <si>
    <t xml:space="preserve">Category Markup Bands</t>
  </si>
  <si>
    <t xml:space="preserve">Master input sheet — quarry-gate/landed cost per category, markup %, and typical bulk density used to convert R/ton to R/m³. Base Cost and Markup % cells (blue) are illustrative placeholders and should be replaced with real cost data.</t>
  </si>
  <si>
    <t xml:space="preserve">Customer Tiers</t>
  </si>
  <si>
    <t xml:space="preserve">Discount off list price by customer type — Retail, Contractor/Trade, Volume/Civil Bulk.</t>
  </si>
  <si>
    <t xml:space="preserve">Delivery &amp; Additional Charges</t>
  </si>
  <si>
    <t xml:space="preserve">Distance and load-size banded delivery fees, minimum order thresholds.</t>
  </si>
  <si>
    <t xml:space="preserve">Competitive Benchmark</t>
  </si>
  <si>
    <t xml:space="preserve">Real 2026 South African retail/market pricing gathered for river sand, crushed stone, and bagged/agricultural lime products, used to sense-check the pricing engine's output — not a direct cost input.</t>
  </si>
  <si>
    <t xml:space="preserve">Sample Priced Catalogue</t>
  </si>
  <si>
    <t xml:space="preserve">All 48 SKUs from the Aggregated Aggregates product portfolio, priced live off the Category Markup Bands and Customer Tiers sheets.</t>
  </si>
  <si>
    <t xml:space="preserve">Key assumptions to replace with real data</t>
  </si>
  <si>
    <t xml:space="preserve">Base Cost (R/ton)</t>
  </si>
  <si>
    <t xml:space="preserve">Illustrative quarry-gate/landed cost placeholders, back-solved to sit at the lower-to-mid end of observed 2026 SA retail pricing (Competitive Benchmark sheet). Replace with actual per-quarry or per-source landed cost.</t>
  </si>
  <si>
    <t xml:space="preserve">Bulk Density (kg/m³)</t>
  </si>
  <si>
    <t xml:space="preserve">Industry-typical loose bulk density midpoints used only to convert between R/ton and R/m³ pricing. Actual density varies by source rock and moisture content — verify per material.</t>
  </si>
  <si>
    <t xml:space="preserve">Agricultural &amp; Industrial Aggregates</t>
  </si>
  <si>
    <t xml:space="preserve">A single blended Base Cost is used across raw agricultural lime and processed hydrated lime, though hydrated lime's real input cost is materially higher (calcining). Replace with per-product costs before quoting Hydrated Lime at scale.</t>
  </si>
  <si>
    <t xml:space="preserve">Exchange rate reference</t>
  </si>
  <si>
    <t xml:space="preserve">Agricultural lime and quicklime benchmark figures converted at approximately R16.20/USD (August 2026 mid-market rate).</t>
  </si>
  <si>
    <t xml:space="preserve">Category</t>
  </si>
  <si>
    <t xml:space="preserve">Markup %</t>
  </si>
  <si>
    <t xml:space="preserve">List Price (R/ton)</t>
  </si>
  <si>
    <t xml:space="preserve">List Price (R/m³)</t>
  </si>
  <si>
    <t xml:space="preserve">Bag Premium Multiplier (vs bulk R/ton)</t>
  </si>
  <si>
    <t xml:space="preserve">Sub-Base &amp; Base Course Materials</t>
  </si>
  <si>
    <t xml:space="preserve">Crushed Stone Aggregates</t>
  </si>
  <si>
    <t xml:space="preserve">Sand &amp; Fine Aggregates</t>
  </si>
  <si>
    <t xml:space="preserve">Crusher Run &amp; Road-Building Materials</t>
  </si>
  <si>
    <t xml:space="preserve">Ballast &amp; Rail Aggregate</t>
  </si>
  <si>
    <t xml:space="preserve">Drainage &amp; Filter Aggregates</t>
  </si>
  <si>
    <t xml:space="preserve">Decorative &amp; Landscaping Aggregates</t>
  </si>
  <si>
    <t xml:space="preserve">Recycled &amp; Sustainable Aggregates</t>
  </si>
  <si>
    <t xml:space="preserve">Bag Premium Multiplier is grounded in real 2026 SA retail data: Leroy Merlin 40kg bagged river sand implies ~2.7x the bulk per-ton rate; BUCO 40kg bagged 19mm stone implies ~3.0x. Applied per category as an illustrative starting point.</t>
  </si>
  <si>
    <t xml:space="preserve">Tier</t>
  </si>
  <si>
    <t xml:space="preserve">Definition</t>
  </si>
  <si>
    <t xml:space="preserve">Discount off List Price</t>
  </si>
  <si>
    <t xml:space="preserve">Retail / Walk-in</t>
  </si>
  <si>
    <t xml:space="preserve">Small quantities, under 3m³ or 5 tons, no trade account</t>
  </si>
  <si>
    <t xml:space="preserve">Contractor / Trade Account</t>
  </si>
  <si>
    <t xml:space="preserve">Registered trade account, regular repeat orders</t>
  </si>
  <si>
    <t xml:space="preserve">Volume / Civil Bulk</t>
  </si>
  <si>
    <t xml:space="preserve">≥10m³ per delivery, or a standing supply agreement</t>
  </si>
  <si>
    <t xml:space="preserve">Delivery Bands — Bulk Loads (tipper truck)</t>
  </si>
  <si>
    <t xml:space="preserve">Distance measured from the nearest Aggregated Aggregates yard or approved supplier location.</t>
  </si>
  <si>
    <t xml:space="preserve">Distance Band</t>
  </si>
  <si>
    <t xml:space="preserve">6m³ Load (~9-10t)</t>
  </si>
  <si>
    <t xml:space="preserve">10m³ Load (~15-16t)</t>
  </si>
  <si>
    <t xml:space="preserve">14m³+ / 34-ton Interlink</t>
  </si>
  <si>
    <t xml:space="preserve">0-30km (standard metro)</t>
  </si>
  <si>
    <t xml:space="preserve">Included in list price</t>
  </si>
  <si>
    <t xml:space="preserve">30-60km</t>
  </si>
  <si>
    <t xml:space="preserve">60-100km</t>
  </si>
  <si>
    <t xml:space="preserve">&gt;100km</t>
  </si>
  <si>
    <t xml:space="preserve">Quote individually</t>
  </si>
  <si>
    <t xml:space="preserve">Quote individually — consider Besfleet</t>
  </si>
  <si>
    <t xml:space="preserve">Minimum Orders &amp; Small-Quantity Delivery</t>
  </si>
  <si>
    <t xml:space="preserve">Minimum order for bulk tipper delivery</t>
  </si>
  <si>
    <t xml:space="preserve">3m³ or 5 tons, whichever the product's unit favours</t>
  </si>
  <si>
    <t xml:space="preserve">Below minimum (bakkie/LDV small-load delivery)</t>
  </si>
  <si>
    <t xml:space="preserve">Flat R350, within 30km only</t>
  </si>
  <si>
    <t xml:space="preserve">Bagged/palletised orders under 1 ton</t>
  </si>
  <si>
    <t xml:space="preserve">Flat R350 within 30km; free over 1 ton within 30km</t>
  </si>
  <si>
    <t xml:space="preserve">Yard collection</t>
  </si>
  <si>
    <t xml:space="preserve">No charge, any quantity, during operating hours</t>
  </si>
  <si>
    <t xml:space="preserve">Competitive Benchmark — Real 2026 South African Market Pricing</t>
  </si>
  <si>
    <t xml:space="preserve">Gathered for sense-checking the pricing engine's output. These are observed retail/DIY-chain prices, not cost inputs — Aggregated Aggregates positions as a trade/bulk supplier, typically below DIY retail on commodity lines.</t>
  </si>
  <si>
    <t xml:space="preserve">Product</t>
  </si>
  <si>
    <t xml:space="preserve">Observed Market Price</t>
  </si>
  <si>
    <t xml:space="preserve">Source</t>
  </si>
  <si>
    <t xml:space="preserve">Basis</t>
  </si>
  <si>
    <t xml:space="preserve">Our List Price (for comparison)</t>
  </si>
  <si>
    <t xml:space="preserve">River Sand (bulk, min 6m³)</t>
  </si>
  <si>
    <t xml:space="preserve">R429/m³</t>
  </si>
  <si>
    <t xml:space="preserve">Leroy Merlin SA</t>
  </si>
  <si>
    <t xml:space="preserve">2026, national delivery</t>
  </si>
  <si>
    <t xml:space="preserve">Building Sand (bulk)</t>
  </si>
  <si>
    <t xml:space="preserve">R439–R650/m³</t>
  </si>
  <si>
    <t xml:space="preserve">2026, yard/delivery range</t>
  </si>
  <si>
    <t xml:space="preserve">19mm Crushed Stone</t>
  </si>
  <si>
    <t xml:space="preserve">R559–R824/m³</t>
  </si>
  <si>
    <t xml:space="preserve">Buco / Leroy Merlin SA</t>
  </si>
  <si>
    <t xml:space="preserve">2026, retail range across suppliers</t>
  </si>
  <si>
    <t xml:space="preserve">R813.72/ton</t>
  </si>
  <si>
    <t xml:space="preserve">Buco</t>
  </si>
  <si>
    <t xml:space="preserve">2026</t>
  </si>
  <si>
    <t xml:space="preserve">13mm Crushed Stone</t>
  </si>
  <si>
    <t xml:space="preserve">R719/m³</t>
  </si>
  <si>
    <t xml:space="preserve">Leroy Merlin SA (bulk aggregates)</t>
  </si>
  <si>
    <t xml:space="preserve">River Sand (40kg bag)</t>
  </si>
  <si>
    <t xml:space="preserve">R29.99/bag</t>
  </si>
  <si>
    <t xml:space="preserve">2026, small-quantity retail</t>
  </si>
  <si>
    <t xml:space="preserve">N/A — sold in bulk only</t>
  </si>
  <si>
    <t xml:space="preserve">Agricultural Lime (bulk)</t>
  </si>
  <si>
    <t xml:space="preserve">~US$40–43/ton (~R650–700/ton)</t>
  </si>
  <si>
    <t xml:space="preserve">Farmonaut 2026 global market report</t>
  </si>
  <si>
    <t xml:space="preserve">Global benchmark; no SA-specific bulk quote found</t>
  </si>
  <si>
    <t xml:space="preserve">Quicklime / Industrial Lime (SA)</t>
  </si>
  <si>
    <t xml:space="preserve">~US$256/ton (~R4,150/ton)</t>
  </si>
  <si>
    <t xml:space="preserve">IMARC Quicklime Price Report, Q2 2026</t>
  </si>
  <si>
    <t xml:space="preserve">Industrial-grade reference, not directly agricultural-grade</t>
  </si>
  <si>
    <t xml:space="preserve">N/A — not a portfolio line</t>
  </si>
  <si>
    <t xml:space="preserve">Market notes:</t>
  </si>
  <si>
    <t xml:space="preserve">• Minimum delivery order volumes across major SA suppliers commonly sit at 3–6m³ (Cloete's Sand &amp; Stone: 3m³; Leroy Merlin: 6m³) — consistent with our own 3m³/5-ton minimum.</t>
  </si>
  <si>
    <t xml:space="preserve">• Several national suppliers (Pavement Materials Group, Builders Merchant) bundle delivery cost into the advertised price within Cape Town/Johannesburg/Pretoria/Durban metros.</t>
  </si>
  <si>
    <t xml:space="preserve">• Exchange rate used for USD-denominated benchmarks: approximately R16.20/USD (August 2026 mid-market rate).</t>
  </si>
  <si>
    <t xml:space="preserve">Product Name</t>
  </si>
  <si>
    <t xml:space="preserve">Unit of Sale</t>
  </si>
  <si>
    <t xml:space="preserve">Bag Weight (kg)</t>
  </si>
  <si>
    <t xml:space="preserve">List Price (R/bag)</t>
  </si>
  <si>
    <t xml:space="preserve">Trade Price (R/ton)</t>
  </si>
  <si>
    <t xml:space="preserve">Volume Price (R/ton)</t>
  </si>
  <si>
    <t xml:space="preserve">G1 Crushed Stone</t>
  </si>
  <si>
    <t xml:space="preserve">per m³ / per ton</t>
  </si>
  <si>
    <t xml:space="preserve">G2 Crushed Stone</t>
  </si>
  <si>
    <t xml:space="preserve">G3 Crushed Stone</t>
  </si>
  <si>
    <t xml:space="preserve">G4 Natural Gravel (Crushed)</t>
  </si>
  <si>
    <t xml:space="preserve">G5 Natural Gravel</t>
  </si>
  <si>
    <t xml:space="preserve">G6 Natural Gravel</t>
  </si>
  <si>
    <t xml:space="preserve">G7 Natural Gravel (Sub-base)</t>
  </si>
  <si>
    <t xml:space="preserve">G8 Gravel (Fill)</t>
  </si>
  <si>
    <t xml:space="preserve">G9 Gravel (Fill)</t>
  </si>
  <si>
    <t xml:space="preserve">G10 Selected Fill / Subgrade Material</t>
  </si>
  <si>
    <t xml:space="preserve">6.7mm Crushed Stone (Dolomite)</t>
  </si>
  <si>
    <t xml:space="preserve">per ton</t>
  </si>
  <si>
    <t xml:space="preserve">9.5mm Crushed Stone (Dolomite)</t>
  </si>
  <si>
    <t xml:space="preserve">13.2mm Crushed Stone (Dolomite)</t>
  </si>
  <si>
    <t xml:space="preserve">19mm Crushed Stone (Dolomite)</t>
  </si>
  <si>
    <t xml:space="preserve">19mm Crushed Stone (Andesite/Hornfels)</t>
  </si>
  <si>
    <t xml:space="preserve">19mm Crushed Stone (Granite)</t>
  </si>
  <si>
    <t xml:space="preserve">26.5mm Crushed Stone (Dolomite)</t>
  </si>
  <si>
    <t xml:space="preserve">37.5mm Crushed Stone (Dolomite)</t>
  </si>
  <si>
    <t xml:space="preserve">53mm Crushed Stone (Dolomite)</t>
  </si>
  <si>
    <t xml:space="preserve">Crusher Dust / Stone Dust</t>
  </si>
  <si>
    <t xml:space="preserve">River Sand (Washed)</t>
  </si>
  <si>
    <t xml:space="preserve">Plaster Sand</t>
  </si>
  <si>
    <t xml:space="preserve">Building Sand (Unwashed)</t>
  </si>
  <si>
    <t xml:space="preserve">Filling Sand</t>
  </si>
  <si>
    <t xml:space="preserve">Concrete Sand</t>
  </si>
  <si>
    <t xml:space="preserve">Screeding Sand</t>
  </si>
  <si>
    <t xml:space="preserve">Silica Sand</t>
  </si>
  <si>
    <t xml:space="preserve">per bag / per ton</t>
  </si>
  <si>
    <t xml:space="preserve">Crusher Run 0-19mm</t>
  </si>
  <si>
    <t xml:space="preserve">Crusher Run 0-40mm</t>
  </si>
  <si>
    <t xml:space="preserve">Rip Rap / Rock Armour</t>
  </si>
  <si>
    <t xml:space="preserve">Gabion Stone</t>
  </si>
  <si>
    <t xml:space="preserve">Ferrocrete Ballast</t>
  </si>
  <si>
    <t xml:space="preserve">Rail Ballast</t>
  </si>
  <si>
    <t xml:space="preserve">Building Rubble / Ballast Mix</t>
  </si>
  <si>
    <t xml:space="preserve">French Drain Stone</t>
  </si>
  <si>
    <t xml:space="preserve">Filter Media Aggregate</t>
  </si>
  <si>
    <t xml:space="preserve">Weeping Tile Bedding Stone</t>
  </si>
  <si>
    <t xml:space="preserve">Subsoil Drainage Stone</t>
  </si>
  <si>
    <t xml:space="preserve">River Pebble</t>
  </si>
  <si>
    <t xml:space="preserve">Crushed Stone Chips (Decorative)</t>
  </si>
  <si>
    <t xml:space="preserve">Pea Gravel</t>
  </si>
  <si>
    <t xml:space="preserve">Mineral Stone Mulch</t>
  </si>
  <si>
    <t xml:space="preserve">Agricultural Lime (Calcitic)</t>
  </si>
  <si>
    <t xml:space="preserve">per 25kg bag / per ton</t>
  </si>
  <si>
    <t xml:space="preserve">Dolomitic Lime</t>
  </si>
  <si>
    <t xml:space="preserve">Hydrated Lime</t>
  </si>
  <si>
    <t xml:space="preserve">per 25kg / 40kg bag</t>
  </si>
  <si>
    <t xml:space="preserve">Recycled Crushed Concrete Aggregate (RCA)</t>
  </si>
  <si>
    <t xml:space="preserve">Recycled Crushed Brick Aggregate</t>
  </si>
  <si>
    <t xml:space="preserve">Reclaimed Asphalt Planings (RAP)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</si>
</sst>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\R#,##0.00"/>
    <numFmt numFmtId="167" formatCode="0.0\x"/>
    <numFmt numFmtId="168" formatCode="0%"/>
    <numFmt numFmtId="169" formatCode="\R#,##0"/>
    <numFmt numFmtId="170" formatCode="#,##0"/>
    <numFmt numFmtId="171" formatCode="\R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B1A"/>
      <name val="Arial"/>
      <family val="0"/>
      <charset val="1"/>
    </font>
    <font>
      <i val="true"/>
      <sz val="11"/>
      <color rgb="FF6B6560"/>
      <name val="Arial"/>
      <family val="0"/>
      <charset val="1"/>
    </font>
    <font>
      <sz val="10"/>
      <color rgb="FF6B6560"/>
      <name val="Arial"/>
      <family val="0"/>
      <charset val="1"/>
    </font>
    <font>
      <sz val="10"/>
      <color rgb="FF1C1B1A"/>
      <name val="Arial"/>
      <family val="0"/>
      <charset val="1"/>
    </font>
    <font>
      <b val="true"/>
      <sz val="10"/>
      <color rgb="FF1C1B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4A5E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B6560"/>
      <name val="Arial"/>
      <family val="0"/>
      <charset val="1"/>
    </font>
    <font>
      <b val="true"/>
      <sz val="12"/>
      <color rgb="FF1C1B1A"/>
      <name val="Arial"/>
      <family val="0"/>
      <charset val="1"/>
    </font>
    <font>
      <i val="true"/>
      <sz val="10"/>
      <color rgb="FF6B6560"/>
      <name val="Arial"/>
      <family val="0"/>
      <charset val="1"/>
    </font>
    <font>
      <sz val="10"/>
      <color rgb="FF2C4A5E"/>
      <name val="Arial"/>
      <family val="0"/>
      <charset val="1"/>
    </font>
    <font>
      <sz val="9"/>
      <color rgb="FF6B65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C4A5E"/>
      <name val="Arial"/>
      <family val="0"/>
      <charset val="1"/>
    </font>
    <font>
      <sz val="9"/>
      <color rgb="FF1C1B1A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4A5E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B4A8"/>
      </left>
      <right style="thin">
        <color rgb="FFB9B4A8"/>
      </right>
      <top style="thin">
        <color rgb="FFB9B4A8"/>
      </top>
      <bottom style="thin">
        <color rgb="FFB9B4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B4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560"/>
      <rgbColor rgb="FF969696"/>
      <rgbColor rgb="FF003366"/>
      <rgbColor rgb="FF339966"/>
      <rgbColor rgb="FF003300"/>
      <rgbColor rgb="FF1C1B1A"/>
      <rgbColor rgb="FF993300"/>
      <rgbColor rgb="FF993366"/>
      <rgbColor rgb="FF333399"/>
      <rgbColor rgb="FF2C4A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8" hidden="false" customHeight="true" outlineLevel="0" collapsed="false">
      <c r="A5" s="5"/>
      <c r="B5" s="6"/>
    </row>
    <row r="6" customFormat="false" ht="18" hidden="false" customHeight="true" outlineLevel="0" collapsed="false">
      <c r="A6" s="7" t="s">
        <v>3</v>
      </c>
      <c r="B6" s="6"/>
    </row>
    <row r="7" customFormat="false" ht="30" hidden="false" customHeight="true" outlineLevel="0" collapsed="false">
      <c r="A7" s="5" t="s">
        <v>4</v>
      </c>
      <c r="B7" s="6" t="s">
        <v>5</v>
      </c>
    </row>
    <row r="8" customFormat="false" ht="30" hidden="false" customHeight="true" outlineLevel="0" collapsed="false">
      <c r="A8" s="5" t="s">
        <v>6</v>
      </c>
      <c r="B8" s="6" t="s">
        <v>7</v>
      </c>
    </row>
    <row r="9" customFormat="false" ht="30" hidden="false" customHeight="true" outlineLevel="0" collapsed="false">
      <c r="A9" s="5" t="s">
        <v>8</v>
      </c>
      <c r="B9" s="6" t="s">
        <v>9</v>
      </c>
    </row>
    <row r="10" customFormat="false" ht="30" hidden="false" customHeight="true" outlineLevel="0" collapsed="false">
      <c r="A10" s="5" t="s">
        <v>10</v>
      </c>
      <c r="B10" s="6" t="s">
        <v>11</v>
      </c>
    </row>
    <row r="11" customFormat="false" ht="30" hidden="false" customHeight="true" outlineLevel="0" collapsed="false">
      <c r="A11" s="5" t="s">
        <v>12</v>
      </c>
      <c r="B11" s="6" t="s">
        <v>13</v>
      </c>
    </row>
    <row r="12" customFormat="false" ht="18" hidden="false" customHeight="true" outlineLevel="0" collapsed="false">
      <c r="A12" s="5"/>
      <c r="B12" s="6"/>
    </row>
    <row r="13" customFormat="false" ht="18" hidden="false" customHeight="true" outlineLevel="0" collapsed="false">
      <c r="A13" s="7" t="s">
        <v>14</v>
      </c>
      <c r="B13" s="6"/>
    </row>
    <row r="14" customFormat="false" ht="30" hidden="false" customHeight="true" outlineLevel="0" collapsed="false">
      <c r="A14" s="5" t="s">
        <v>15</v>
      </c>
      <c r="B14" s="6" t="s">
        <v>16</v>
      </c>
    </row>
    <row r="15" customFormat="false" ht="30" hidden="false" customHeight="true" outlineLevel="0" collapsed="false">
      <c r="A15" s="5" t="s">
        <v>17</v>
      </c>
      <c r="B15" s="6" t="s">
        <v>18</v>
      </c>
    </row>
    <row r="16" customFormat="false" ht="30" hidden="false" customHeight="true" outlineLevel="0" collapsed="false">
      <c r="A16" s="5" t="s">
        <v>19</v>
      </c>
      <c r="B16" s="6" t="s">
        <v>20</v>
      </c>
    </row>
    <row r="17" customFormat="false" ht="30" hidden="false" customHeight="true" outlineLevel="0" collapsed="false">
      <c r="A17" s="5" t="s">
        <v>21</v>
      </c>
      <c r="B17" s="6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6" min="5" style="1" width="18"/>
    <col collapsed="false" customWidth="true" hidden="false" outlineLevel="0" max="7" min="7" style="0" width="24"/>
  </cols>
  <sheetData>
    <row r="1" customFormat="false" ht="15" hidden="false" customHeight="true" outlineLevel="0" collapsed="false">
      <c r="A1" s="8" t="s">
        <v>23</v>
      </c>
      <c r="B1" s="8" t="s">
        <v>17</v>
      </c>
      <c r="C1" s="8" t="s">
        <v>15</v>
      </c>
      <c r="D1" s="8" t="s">
        <v>24</v>
      </c>
      <c r="E1" s="8" t="s">
        <v>25</v>
      </c>
      <c r="F1" s="8" t="s">
        <v>26</v>
      </c>
      <c r="G1" s="8" t="s">
        <v>27</v>
      </c>
    </row>
    <row r="2" customFormat="false" ht="15" hidden="false" customHeight="true" outlineLevel="0" collapsed="false">
      <c r="A2" s="9" t="s">
        <v>28</v>
      </c>
      <c r="B2" s="10" t="n">
        <v>1700</v>
      </c>
      <c r="C2" s="10" t="n">
        <v>180</v>
      </c>
      <c r="D2" s="11" t="n">
        <v>0.18</v>
      </c>
      <c r="E2" s="12" t="n">
        <f aca="false">C2*(1+D2)</f>
        <v>212.4</v>
      </c>
      <c r="F2" s="12" t="n">
        <f aca="false">E2*B2/1000</f>
        <v>361.08</v>
      </c>
      <c r="G2" s="13" t="n">
        <v>2.5</v>
      </c>
    </row>
    <row r="3" customFormat="false" ht="15" hidden="false" customHeight="true" outlineLevel="0" collapsed="false">
      <c r="A3" s="9" t="s">
        <v>29</v>
      </c>
      <c r="B3" s="10" t="n">
        <v>1450</v>
      </c>
      <c r="C3" s="10" t="n">
        <v>320</v>
      </c>
      <c r="D3" s="11" t="n">
        <v>0.25</v>
      </c>
      <c r="E3" s="12" t="n">
        <f aca="false">C3*(1+D3)</f>
        <v>400</v>
      </c>
      <c r="F3" s="12" t="n">
        <f aca="false">E3*B3/1000</f>
        <v>580</v>
      </c>
      <c r="G3" s="13" t="n">
        <v>3</v>
      </c>
    </row>
    <row r="4" customFormat="false" ht="15" hidden="false" customHeight="true" outlineLevel="0" collapsed="false">
      <c r="A4" s="9" t="s">
        <v>30</v>
      </c>
      <c r="B4" s="10" t="n">
        <v>1550</v>
      </c>
      <c r="C4" s="10" t="n">
        <v>280</v>
      </c>
      <c r="D4" s="11" t="n">
        <v>0.28</v>
      </c>
      <c r="E4" s="12" t="n">
        <f aca="false">C4*(1+D4)</f>
        <v>358.4</v>
      </c>
      <c r="F4" s="12" t="n">
        <f aca="false">E4*B4/1000</f>
        <v>555.52</v>
      </c>
      <c r="G4" s="13" t="n">
        <v>2.7</v>
      </c>
    </row>
    <row r="5" customFormat="false" ht="15" hidden="false" customHeight="true" outlineLevel="0" collapsed="false">
      <c r="A5" s="9" t="s">
        <v>31</v>
      </c>
      <c r="B5" s="10" t="n">
        <v>1800</v>
      </c>
      <c r="C5" s="10" t="n">
        <v>190</v>
      </c>
      <c r="D5" s="11" t="n">
        <v>0.18</v>
      </c>
      <c r="E5" s="12" t="n">
        <f aca="false">C5*(1+D5)</f>
        <v>224.2</v>
      </c>
      <c r="F5" s="12" t="n">
        <f aca="false">E5*B5/1000</f>
        <v>403.56</v>
      </c>
      <c r="G5" s="13" t="n">
        <v>2.5</v>
      </c>
    </row>
    <row r="6" customFormat="false" ht="15" hidden="false" customHeight="true" outlineLevel="0" collapsed="false">
      <c r="A6" s="9" t="s">
        <v>32</v>
      </c>
      <c r="B6" s="10" t="n">
        <v>1600</v>
      </c>
      <c r="C6" s="10" t="n">
        <v>210</v>
      </c>
      <c r="D6" s="11" t="n">
        <v>0.22</v>
      </c>
      <c r="E6" s="12" t="n">
        <f aca="false">C6*(1+D6)</f>
        <v>256.2</v>
      </c>
      <c r="F6" s="12" t="n">
        <f aca="false">E6*B6/1000</f>
        <v>409.92</v>
      </c>
      <c r="G6" s="13" t="n">
        <v>2.5</v>
      </c>
    </row>
    <row r="7" customFormat="false" ht="15" hidden="false" customHeight="true" outlineLevel="0" collapsed="false">
      <c r="A7" s="9" t="s">
        <v>33</v>
      </c>
      <c r="B7" s="10" t="n">
        <v>1500</v>
      </c>
      <c r="C7" s="10" t="n">
        <v>300</v>
      </c>
      <c r="D7" s="11" t="n">
        <v>0.3</v>
      </c>
      <c r="E7" s="12" t="n">
        <f aca="false">C7*(1+D7)</f>
        <v>390</v>
      </c>
      <c r="F7" s="12" t="n">
        <f aca="false">E7*B7/1000</f>
        <v>585</v>
      </c>
      <c r="G7" s="13" t="n">
        <v>2.8</v>
      </c>
    </row>
    <row r="8" customFormat="false" ht="15" hidden="false" customHeight="true" outlineLevel="0" collapsed="false">
      <c r="A8" s="9" t="s">
        <v>34</v>
      </c>
      <c r="B8" s="10" t="n">
        <v>1500</v>
      </c>
      <c r="C8" s="10" t="n">
        <v>380</v>
      </c>
      <c r="D8" s="11" t="n">
        <v>0.55</v>
      </c>
      <c r="E8" s="12" t="n">
        <f aca="false">C8*(1+D8)</f>
        <v>589</v>
      </c>
      <c r="F8" s="12" t="n">
        <f aca="false">E8*B8/1000</f>
        <v>883.5</v>
      </c>
      <c r="G8" s="13" t="n">
        <v>3.5</v>
      </c>
    </row>
    <row r="9" customFormat="false" ht="15" hidden="false" customHeight="true" outlineLevel="0" collapsed="false">
      <c r="A9" s="9" t="s">
        <v>19</v>
      </c>
      <c r="B9" s="10" t="n">
        <v>900</v>
      </c>
      <c r="C9" s="10" t="n">
        <v>700</v>
      </c>
      <c r="D9" s="11" t="n">
        <v>0.35</v>
      </c>
      <c r="E9" s="12" t="n">
        <f aca="false">C9*(1+D9)</f>
        <v>945</v>
      </c>
      <c r="F9" s="12" t="n">
        <f aca="false">E9*B9/1000</f>
        <v>850.5</v>
      </c>
      <c r="G9" s="13" t="n">
        <v>2.2</v>
      </c>
    </row>
    <row r="10" customFormat="false" ht="15" hidden="false" customHeight="true" outlineLevel="0" collapsed="false">
      <c r="A10" s="9" t="s">
        <v>35</v>
      </c>
      <c r="B10" s="10" t="n">
        <v>1500</v>
      </c>
      <c r="C10" s="10" t="n">
        <v>90</v>
      </c>
      <c r="D10" s="11" t="n">
        <v>0.15</v>
      </c>
      <c r="E10" s="12" t="n">
        <f aca="false">C10*(1+D10)</f>
        <v>103.5</v>
      </c>
      <c r="F10" s="12" t="n">
        <f aca="false">E10*B10/1000</f>
        <v>155.25</v>
      </c>
      <c r="G10" s="13" t="n">
        <v>2.5</v>
      </c>
    </row>
    <row r="12" customFormat="false" ht="27.75" hidden="false" customHeight="true" outlineLevel="0" collapsed="false">
      <c r="A12" s="14" t="s">
        <v>36</v>
      </c>
      <c r="B12" s="14"/>
      <c r="C12" s="14"/>
      <c r="D12" s="14"/>
      <c r="E12" s="14"/>
      <c r="F12" s="14"/>
      <c r="G12" s="14"/>
    </row>
  </sheetData>
  <mergeCells count="1"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8" t="s">
        <v>37</v>
      </c>
      <c r="B1" s="8" t="s">
        <v>38</v>
      </c>
      <c r="C1" s="8" t="s">
        <v>39</v>
      </c>
    </row>
    <row r="2" customFormat="false" ht="25.5" hidden="false" customHeight="true" outlineLevel="0" collapsed="false">
      <c r="A2" s="9" t="s">
        <v>40</v>
      </c>
      <c r="B2" s="15" t="s">
        <v>41</v>
      </c>
      <c r="C2" s="16" t="n">
        <v>0</v>
      </c>
    </row>
    <row r="3" customFormat="false" ht="25.5" hidden="false" customHeight="true" outlineLevel="0" collapsed="false">
      <c r="A3" s="9" t="s">
        <v>42</v>
      </c>
      <c r="B3" s="15" t="s">
        <v>43</v>
      </c>
      <c r="C3" s="16" t="n">
        <v>0.08</v>
      </c>
    </row>
    <row r="4" customFormat="false" ht="25.5" hidden="false" customHeight="true" outlineLevel="0" collapsed="false">
      <c r="A4" s="9" t="s">
        <v>44</v>
      </c>
      <c r="B4" s="15" t="s">
        <v>45</v>
      </c>
      <c r="C4" s="16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30"/>
  </cols>
  <sheetData>
    <row r="1" customFormat="false" ht="15" hidden="false" customHeight="true" outlineLevel="0" collapsed="false">
      <c r="A1" s="17" t="s">
        <v>46</v>
      </c>
    </row>
    <row r="2" customFormat="false" ht="15" hidden="false" customHeight="true" outlineLevel="0" collapsed="false">
      <c r="A2" s="18" t="s">
        <v>47</v>
      </c>
    </row>
    <row r="3" customFormat="false" ht="15" hidden="false" customHeight="true" outlineLevel="0" collapsed="false">
      <c r="A3" s="8" t="s">
        <v>48</v>
      </c>
      <c r="B3" s="8" t="s">
        <v>49</v>
      </c>
      <c r="C3" s="8" t="s">
        <v>50</v>
      </c>
      <c r="D3" s="8" t="s">
        <v>51</v>
      </c>
    </row>
    <row r="4" customFormat="false" ht="15" hidden="false" customHeight="true" outlineLevel="0" collapsed="false">
      <c r="A4" s="9" t="s">
        <v>52</v>
      </c>
      <c r="B4" s="19" t="s">
        <v>53</v>
      </c>
      <c r="C4" s="19" t="s">
        <v>53</v>
      </c>
      <c r="D4" s="19" t="s">
        <v>53</v>
      </c>
    </row>
    <row r="5" customFormat="false" ht="15" hidden="false" customHeight="true" outlineLevel="0" collapsed="false">
      <c r="A5" s="9" t="s">
        <v>54</v>
      </c>
      <c r="B5" s="20" t="n">
        <v>450</v>
      </c>
      <c r="C5" s="20" t="n">
        <v>650</v>
      </c>
      <c r="D5" s="20" t="n">
        <v>950</v>
      </c>
    </row>
    <row r="6" customFormat="false" ht="15" hidden="false" customHeight="true" outlineLevel="0" collapsed="false">
      <c r="A6" s="9" t="s">
        <v>55</v>
      </c>
      <c r="B6" s="20" t="n">
        <v>850</v>
      </c>
      <c r="C6" s="20" t="n">
        <v>1200</v>
      </c>
      <c r="D6" s="20" t="n">
        <v>1800</v>
      </c>
    </row>
    <row r="7" customFormat="false" ht="15" hidden="false" customHeight="true" outlineLevel="0" collapsed="false">
      <c r="A7" s="9" t="s">
        <v>56</v>
      </c>
      <c r="B7" s="19" t="s">
        <v>57</v>
      </c>
      <c r="C7" s="19" t="s">
        <v>57</v>
      </c>
      <c r="D7" s="19" t="s">
        <v>58</v>
      </c>
    </row>
    <row r="9" customFormat="false" ht="15" hidden="false" customHeight="true" outlineLevel="0" collapsed="false">
      <c r="A9" s="17" t="s">
        <v>59</v>
      </c>
    </row>
    <row r="10" customFormat="false" ht="15" hidden="false" customHeight="true" outlineLevel="0" collapsed="false">
      <c r="A10" s="21" t="s">
        <v>60</v>
      </c>
      <c r="B10" s="22" t="s">
        <v>61</v>
      </c>
      <c r="C10" s="22"/>
      <c r="D10" s="22"/>
    </row>
    <row r="11" customFormat="false" ht="15" hidden="false" customHeight="true" outlineLevel="0" collapsed="false">
      <c r="A11" s="21" t="s">
        <v>62</v>
      </c>
      <c r="B11" s="22" t="s">
        <v>63</v>
      </c>
      <c r="C11" s="22"/>
      <c r="D11" s="22"/>
    </row>
    <row r="12" customFormat="false" ht="15" hidden="false" customHeight="true" outlineLevel="0" collapsed="false">
      <c r="A12" s="21" t="s">
        <v>64</v>
      </c>
      <c r="B12" s="22" t="s">
        <v>65</v>
      </c>
      <c r="C12" s="22"/>
      <c r="D12" s="22"/>
    </row>
    <row r="13" customFormat="false" ht="15" hidden="false" customHeight="true" outlineLevel="0" collapsed="false">
      <c r="A13" s="21" t="s">
        <v>66</v>
      </c>
      <c r="B13" s="22" t="s">
        <v>67</v>
      </c>
      <c r="C13" s="22"/>
      <c r="D13" s="22"/>
    </row>
  </sheetData>
  <mergeCells count="4">
    <mergeCell ref="B10:D10"/>
    <mergeCell ref="B11:D11"/>
    <mergeCell ref="B12:D12"/>
    <mergeCell ref="B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24"/>
  </cols>
  <sheetData>
    <row r="1" customFormat="false" ht="15" hidden="false" customHeight="true" outlineLevel="0" collapsed="false">
      <c r="A1" s="17" t="s">
        <v>68</v>
      </c>
    </row>
    <row r="2" customFormat="false" ht="27.75" hidden="false" customHeight="true" outlineLevel="0" collapsed="false">
      <c r="A2" s="14" t="s">
        <v>69</v>
      </c>
      <c r="B2" s="14"/>
      <c r="C2" s="14"/>
      <c r="D2" s="14"/>
      <c r="E2" s="14"/>
    </row>
    <row r="3" customFormat="false" ht="23.25" hidden="false" customHeight="true" outlineLevel="0" collapsed="false">
      <c r="A3" s="8" t="s">
        <v>70</v>
      </c>
      <c r="B3" s="8" t="s">
        <v>71</v>
      </c>
      <c r="C3" s="8" t="s">
        <v>72</v>
      </c>
      <c r="D3" s="8" t="s">
        <v>73</v>
      </c>
      <c r="E3" s="8" t="s">
        <v>74</v>
      </c>
    </row>
    <row r="4" customFormat="false" ht="27.75" hidden="false" customHeight="true" outlineLevel="0" collapsed="false">
      <c r="A4" s="23" t="s">
        <v>75</v>
      </c>
      <c r="B4" s="24" t="s">
        <v>76</v>
      </c>
      <c r="C4" s="24" t="s">
        <v>77</v>
      </c>
      <c r="D4" s="24" t="s">
        <v>78</v>
      </c>
      <c r="E4" s="25" t="n">
        <f aca="false">'Sample Priced Catalogue'!H10</f>
        <v>361.08</v>
      </c>
    </row>
    <row r="5" customFormat="false" ht="27.75" hidden="false" customHeight="true" outlineLevel="0" collapsed="false">
      <c r="A5" s="23" t="s">
        <v>79</v>
      </c>
      <c r="B5" s="24" t="s">
        <v>80</v>
      </c>
      <c r="C5" s="24" t="s">
        <v>77</v>
      </c>
      <c r="D5" s="24" t="s">
        <v>81</v>
      </c>
      <c r="E5" s="25" t="n">
        <f aca="false">'Sample Priced Catalogue'!H12</f>
        <v>580</v>
      </c>
    </row>
    <row r="6" customFormat="false" ht="27.75" hidden="false" customHeight="true" outlineLevel="0" collapsed="false">
      <c r="A6" s="23" t="s">
        <v>82</v>
      </c>
      <c r="B6" s="24" t="s">
        <v>83</v>
      </c>
      <c r="C6" s="24" t="s">
        <v>84</v>
      </c>
      <c r="D6" s="24" t="s">
        <v>85</v>
      </c>
      <c r="E6" s="25" t="n">
        <f aca="false">'Sample Priced Catalogue'!H16</f>
        <v>580</v>
      </c>
    </row>
    <row r="7" customFormat="false" ht="27.75" hidden="false" customHeight="true" outlineLevel="0" collapsed="false">
      <c r="A7" s="23" t="s">
        <v>82</v>
      </c>
      <c r="B7" s="24" t="s">
        <v>86</v>
      </c>
      <c r="C7" s="24" t="s">
        <v>87</v>
      </c>
      <c r="D7" s="24" t="s">
        <v>88</v>
      </c>
      <c r="E7" s="25" t="n">
        <f aca="false">'Sample Priced Catalogue'!G16</f>
        <v>400</v>
      </c>
    </row>
    <row r="8" customFormat="false" ht="27.75" hidden="false" customHeight="true" outlineLevel="0" collapsed="false">
      <c r="A8" s="23" t="s">
        <v>89</v>
      </c>
      <c r="B8" s="24" t="s">
        <v>90</v>
      </c>
      <c r="C8" s="24" t="s">
        <v>91</v>
      </c>
      <c r="D8" s="24" t="s">
        <v>88</v>
      </c>
      <c r="E8" s="25" t="n">
        <f aca="false">'Sample Priced Catalogue'!H15</f>
        <v>580</v>
      </c>
    </row>
    <row r="9" customFormat="false" ht="27.75" hidden="false" customHeight="true" outlineLevel="0" collapsed="false">
      <c r="A9" s="23" t="s">
        <v>92</v>
      </c>
      <c r="B9" s="24" t="s">
        <v>93</v>
      </c>
      <c r="C9" s="24" t="s">
        <v>77</v>
      </c>
      <c r="D9" s="24" t="s">
        <v>94</v>
      </c>
      <c r="E9" s="26" t="s">
        <v>95</v>
      </c>
    </row>
    <row r="10" customFormat="false" ht="27.75" hidden="false" customHeight="true" outlineLevel="0" collapsed="false">
      <c r="A10" s="23" t="s">
        <v>96</v>
      </c>
      <c r="B10" s="24" t="s">
        <v>97</v>
      </c>
      <c r="C10" s="24" t="s">
        <v>98</v>
      </c>
      <c r="D10" s="24" t="s">
        <v>99</v>
      </c>
      <c r="E10" s="25" t="n">
        <f aca="false">'Sample Priced Catalogue'!G43</f>
        <v>589</v>
      </c>
    </row>
    <row r="11" customFormat="false" ht="27.75" hidden="false" customHeight="true" outlineLevel="0" collapsed="false">
      <c r="A11" s="23" t="s">
        <v>100</v>
      </c>
      <c r="B11" s="24" t="s">
        <v>101</v>
      </c>
      <c r="C11" s="24" t="s">
        <v>102</v>
      </c>
      <c r="D11" s="24" t="s">
        <v>103</v>
      </c>
      <c r="E11" s="26" t="s">
        <v>104</v>
      </c>
    </row>
    <row r="13" customFormat="false" ht="15" hidden="false" customHeight="true" outlineLevel="0" collapsed="false">
      <c r="A13" s="27" t="s">
        <v>105</v>
      </c>
      <c r="B13" s="27"/>
      <c r="C13" s="27"/>
      <c r="D13" s="27"/>
      <c r="E13" s="27"/>
    </row>
    <row r="14" customFormat="false" ht="15" hidden="false" customHeight="true" outlineLevel="0" collapsed="false">
      <c r="A14" s="27" t="s">
        <v>106</v>
      </c>
      <c r="B14" s="27"/>
      <c r="C14" s="27"/>
      <c r="D14" s="27"/>
      <c r="E14" s="27"/>
    </row>
    <row r="15" customFormat="false" ht="15" hidden="false" customHeight="true" outlineLevel="0" collapsed="false">
      <c r="A15" s="27" t="s">
        <v>107</v>
      </c>
      <c r="B15" s="27"/>
      <c r="C15" s="27"/>
      <c r="D15" s="27"/>
      <c r="E15" s="27"/>
    </row>
    <row r="16" customFormat="false" ht="15" hidden="false" customHeight="true" outlineLevel="0" collapsed="false">
      <c r="A16" s="27" t="s">
        <v>108</v>
      </c>
      <c r="B16" s="27"/>
      <c r="C16" s="27"/>
      <c r="D16" s="27"/>
      <c r="E16" s="27"/>
    </row>
  </sheetData>
  <mergeCells count="5">
    <mergeCell ref="A2:E2"/>
    <mergeCell ref="A13:E13"/>
    <mergeCell ref="A14:E14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5" min="4" style="1" width="12"/>
    <col collapsed="false" customWidth="true" hidden="false" outlineLevel="0" max="6" min="6" style="1" width="9"/>
    <col collapsed="false" customWidth="true" hidden="false" outlineLevel="0" max="8" min="7" style="1" width="13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2" min="11" style="1" width="13"/>
  </cols>
  <sheetData>
    <row r="1" customFormat="false" ht="31.5" hidden="false" customHeight="true" outlineLevel="0" collapsed="false">
      <c r="A1" s="28" t="s">
        <v>23</v>
      </c>
      <c r="B1" s="28" t="s">
        <v>109</v>
      </c>
      <c r="C1" s="28" t="s">
        <v>110</v>
      </c>
      <c r="D1" s="28" t="s">
        <v>17</v>
      </c>
      <c r="E1" s="28" t="s">
        <v>15</v>
      </c>
      <c r="F1" s="28" t="s">
        <v>24</v>
      </c>
      <c r="G1" s="28" t="s">
        <v>25</v>
      </c>
      <c r="H1" s="28" t="s">
        <v>26</v>
      </c>
      <c r="I1" s="28" t="s">
        <v>111</v>
      </c>
      <c r="J1" s="28" t="s">
        <v>112</v>
      </c>
      <c r="K1" s="28" t="s">
        <v>113</v>
      </c>
      <c r="L1" s="28" t="s">
        <v>114</v>
      </c>
    </row>
    <row r="2" customFormat="false" ht="15" hidden="false" customHeight="true" outlineLevel="0" collapsed="false">
      <c r="A2" s="29" t="s">
        <v>28</v>
      </c>
      <c r="B2" s="30" t="s">
        <v>115</v>
      </c>
      <c r="C2" s="31" t="s">
        <v>116</v>
      </c>
      <c r="D2" s="32" t="n">
        <f aca="false">INDEX('Category Markup Bands'!$B$2:$B$10,MATCH($A2,'Category Markup Bands'!$A$2:$A$10,0))</f>
        <v>1700</v>
      </c>
      <c r="E2" s="33" t="n">
        <f aca="false">INDEX('Category Markup Bands'!$C$2:$C$10,MATCH($A2,'Category Markup Bands'!$A$2:$A$10,0))</f>
        <v>180</v>
      </c>
      <c r="F2" s="34" t="n">
        <f aca="false">INDEX('Category Markup Bands'!$D$2:$D$10,MATCH($A2,'Category Markup Bands'!$A$2:$A$10,0))</f>
        <v>0.18</v>
      </c>
      <c r="G2" s="35" t="n">
        <f aca="false">E2*(1+F2)</f>
        <v>212.4</v>
      </c>
      <c r="H2" s="35" t="n">
        <f aca="false">G2*D2/1000</f>
        <v>361.08</v>
      </c>
      <c r="I2" s="36"/>
      <c r="J2" s="37" t="str">
        <f aca="false">IF(I2="","",G2*INDEX('Category Markup Bands'!$G$2:$G$10,MATCH($A2,'Category Markup Bands'!$A$2:$A$10,0))*I2/1000)</f>
        <v/>
      </c>
      <c r="K2" s="33" t="n">
        <f aca="false">G2*(1-'Customer Tiers'!$C$3)</f>
        <v>195.408</v>
      </c>
      <c r="L2" s="33" t="n">
        <f aca="false">G2*(1-'Customer Tiers'!$C$4)</f>
        <v>180.54</v>
      </c>
    </row>
    <row r="3" customFormat="false" ht="15" hidden="false" customHeight="true" outlineLevel="0" collapsed="false">
      <c r="A3" s="29" t="s">
        <v>28</v>
      </c>
      <c r="B3" s="30" t="s">
        <v>117</v>
      </c>
      <c r="C3" s="31" t="s">
        <v>116</v>
      </c>
      <c r="D3" s="32" t="n">
        <f aca="false">INDEX('Category Markup Bands'!$B$2:$B$10,MATCH($A3,'Category Markup Bands'!$A$2:$A$10,0))</f>
        <v>1700</v>
      </c>
      <c r="E3" s="33" t="n">
        <f aca="false">INDEX('Category Markup Bands'!$C$2:$C$10,MATCH($A3,'Category Markup Bands'!$A$2:$A$10,0))</f>
        <v>180</v>
      </c>
      <c r="F3" s="34" t="n">
        <f aca="false">INDEX('Category Markup Bands'!$D$2:$D$10,MATCH($A3,'Category Markup Bands'!$A$2:$A$10,0))</f>
        <v>0.18</v>
      </c>
      <c r="G3" s="35" t="n">
        <f aca="false">E3*(1+F3)</f>
        <v>212.4</v>
      </c>
      <c r="H3" s="35" t="n">
        <f aca="false">G3*D3/1000</f>
        <v>361.08</v>
      </c>
      <c r="I3" s="36"/>
      <c r="J3" s="37" t="str">
        <f aca="false">IF(I3="","",G3*INDEX('Category Markup Bands'!$G$2:$G$10,MATCH($A3,'Category Markup Bands'!$A$2:$A$10,0))*I3/1000)</f>
        <v/>
      </c>
      <c r="K3" s="33" t="n">
        <f aca="false">G3*(1-'Customer Tiers'!$C$3)</f>
        <v>195.408</v>
      </c>
      <c r="L3" s="33" t="n">
        <f aca="false">G3*(1-'Customer Tiers'!$C$4)</f>
        <v>180.54</v>
      </c>
    </row>
    <row r="4" customFormat="false" ht="15" hidden="false" customHeight="true" outlineLevel="0" collapsed="false">
      <c r="A4" s="29" t="s">
        <v>28</v>
      </c>
      <c r="B4" s="30" t="s">
        <v>118</v>
      </c>
      <c r="C4" s="31" t="s">
        <v>116</v>
      </c>
      <c r="D4" s="32" t="n">
        <f aca="false">INDEX('Category Markup Bands'!$B$2:$B$10,MATCH($A4,'Category Markup Bands'!$A$2:$A$10,0))</f>
        <v>1700</v>
      </c>
      <c r="E4" s="33" t="n">
        <f aca="false">INDEX('Category Markup Bands'!$C$2:$C$10,MATCH($A4,'Category Markup Bands'!$A$2:$A$10,0))</f>
        <v>180</v>
      </c>
      <c r="F4" s="34" t="n">
        <f aca="false">INDEX('Category Markup Bands'!$D$2:$D$10,MATCH($A4,'Category Markup Bands'!$A$2:$A$10,0))</f>
        <v>0.18</v>
      </c>
      <c r="G4" s="35" t="n">
        <f aca="false">E4*(1+F4)</f>
        <v>212.4</v>
      </c>
      <c r="H4" s="35" t="n">
        <f aca="false">G4*D4/1000</f>
        <v>361.08</v>
      </c>
      <c r="I4" s="36"/>
      <c r="J4" s="37" t="str">
        <f aca="false">IF(I4="","",G4*INDEX('Category Markup Bands'!$G$2:$G$10,MATCH($A4,'Category Markup Bands'!$A$2:$A$10,0))*I4/1000)</f>
        <v/>
      </c>
      <c r="K4" s="33" t="n">
        <f aca="false">G4*(1-'Customer Tiers'!$C$3)</f>
        <v>195.408</v>
      </c>
      <c r="L4" s="33" t="n">
        <f aca="false">G4*(1-'Customer Tiers'!$C$4)</f>
        <v>180.54</v>
      </c>
    </row>
    <row r="5" customFormat="false" ht="15" hidden="false" customHeight="true" outlineLevel="0" collapsed="false">
      <c r="A5" s="29" t="s">
        <v>28</v>
      </c>
      <c r="B5" s="30" t="s">
        <v>119</v>
      </c>
      <c r="C5" s="31" t="s">
        <v>116</v>
      </c>
      <c r="D5" s="32" t="n">
        <f aca="false">INDEX('Category Markup Bands'!$B$2:$B$10,MATCH($A5,'Category Markup Bands'!$A$2:$A$10,0))</f>
        <v>1700</v>
      </c>
      <c r="E5" s="33" t="n">
        <f aca="false">INDEX('Category Markup Bands'!$C$2:$C$10,MATCH($A5,'Category Markup Bands'!$A$2:$A$10,0))</f>
        <v>180</v>
      </c>
      <c r="F5" s="34" t="n">
        <f aca="false">INDEX('Category Markup Bands'!$D$2:$D$10,MATCH($A5,'Category Markup Bands'!$A$2:$A$10,0))</f>
        <v>0.18</v>
      </c>
      <c r="G5" s="35" t="n">
        <f aca="false">E5*(1+F5)</f>
        <v>212.4</v>
      </c>
      <c r="H5" s="35" t="n">
        <f aca="false">G5*D5/1000</f>
        <v>361.08</v>
      </c>
      <c r="I5" s="36"/>
      <c r="J5" s="37" t="str">
        <f aca="false">IF(I5="","",G5*INDEX('Category Markup Bands'!$G$2:$G$10,MATCH($A5,'Category Markup Bands'!$A$2:$A$10,0))*I5/1000)</f>
        <v/>
      </c>
      <c r="K5" s="33" t="n">
        <f aca="false">G5*(1-'Customer Tiers'!$C$3)</f>
        <v>195.408</v>
      </c>
      <c r="L5" s="33" t="n">
        <f aca="false">G5*(1-'Customer Tiers'!$C$4)</f>
        <v>180.54</v>
      </c>
    </row>
    <row r="6" customFormat="false" ht="15" hidden="false" customHeight="true" outlineLevel="0" collapsed="false">
      <c r="A6" s="29" t="s">
        <v>28</v>
      </c>
      <c r="B6" s="30" t="s">
        <v>120</v>
      </c>
      <c r="C6" s="31" t="s">
        <v>116</v>
      </c>
      <c r="D6" s="32" t="n">
        <f aca="false">INDEX('Category Markup Bands'!$B$2:$B$10,MATCH($A6,'Category Markup Bands'!$A$2:$A$10,0))</f>
        <v>1700</v>
      </c>
      <c r="E6" s="33" t="n">
        <f aca="false">INDEX('Category Markup Bands'!$C$2:$C$10,MATCH($A6,'Category Markup Bands'!$A$2:$A$10,0))</f>
        <v>180</v>
      </c>
      <c r="F6" s="34" t="n">
        <f aca="false">INDEX('Category Markup Bands'!$D$2:$D$10,MATCH($A6,'Category Markup Bands'!$A$2:$A$10,0))</f>
        <v>0.18</v>
      </c>
      <c r="G6" s="35" t="n">
        <f aca="false">E6*(1+F6)</f>
        <v>212.4</v>
      </c>
      <c r="H6" s="35" t="n">
        <f aca="false">G6*D6/1000</f>
        <v>361.08</v>
      </c>
      <c r="I6" s="36"/>
      <c r="J6" s="37" t="str">
        <f aca="false">IF(I6="","",G6*INDEX('Category Markup Bands'!$G$2:$G$10,MATCH($A6,'Category Markup Bands'!$A$2:$A$10,0))*I6/1000)</f>
        <v/>
      </c>
      <c r="K6" s="33" t="n">
        <f aca="false">G6*(1-'Customer Tiers'!$C$3)</f>
        <v>195.408</v>
      </c>
      <c r="L6" s="33" t="n">
        <f aca="false">G6*(1-'Customer Tiers'!$C$4)</f>
        <v>180.54</v>
      </c>
    </row>
    <row r="7" customFormat="false" ht="15" hidden="false" customHeight="true" outlineLevel="0" collapsed="false">
      <c r="A7" s="29" t="s">
        <v>28</v>
      </c>
      <c r="B7" s="30" t="s">
        <v>121</v>
      </c>
      <c r="C7" s="31" t="s">
        <v>116</v>
      </c>
      <c r="D7" s="32" t="n">
        <f aca="false">INDEX('Category Markup Bands'!$B$2:$B$10,MATCH($A7,'Category Markup Bands'!$A$2:$A$10,0))</f>
        <v>1700</v>
      </c>
      <c r="E7" s="33" t="n">
        <f aca="false">INDEX('Category Markup Bands'!$C$2:$C$10,MATCH($A7,'Category Markup Bands'!$A$2:$A$10,0))</f>
        <v>180</v>
      </c>
      <c r="F7" s="34" t="n">
        <f aca="false">INDEX('Category Markup Bands'!$D$2:$D$10,MATCH($A7,'Category Markup Bands'!$A$2:$A$10,0))</f>
        <v>0.18</v>
      </c>
      <c r="G7" s="35" t="n">
        <f aca="false">E7*(1+F7)</f>
        <v>212.4</v>
      </c>
      <c r="H7" s="35" t="n">
        <f aca="false">G7*D7/1000</f>
        <v>361.08</v>
      </c>
      <c r="I7" s="36"/>
      <c r="J7" s="37" t="str">
        <f aca="false">IF(I7="","",G7*INDEX('Category Markup Bands'!$G$2:$G$10,MATCH($A7,'Category Markup Bands'!$A$2:$A$10,0))*I7/1000)</f>
        <v/>
      </c>
      <c r="K7" s="33" t="n">
        <f aca="false">G7*(1-'Customer Tiers'!$C$3)</f>
        <v>195.408</v>
      </c>
      <c r="L7" s="33" t="n">
        <f aca="false">G7*(1-'Customer Tiers'!$C$4)</f>
        <v>180.54</v>
      </c>
    </row>
    <row r="8" customFormat="false" ht="15" hidden="false" customHeight="true" outlineLevel="0" collapsed="false">
      <c r="A8" s="29" t="s">
        <v>28</v>
      </c>
      <c r="B8" s="30" t="s">
        <v>122</v>
      </c>
      <c r="C8" s="31" t="s">
        <v>116</v>
      </c>
      <c r="D8" s="32" t="n">
        <f aca="false">INDEX('Category Markup Bands'!$B$2:$B$10,MATCH($A8,'Category Markup Bands'!$A$2:$A$10,0))</f>
        <v>1700</v>
      </c>
      <c r="E8" s="33" t="n">
        <f aca="false">INDEX('Category Markup Bands'!$C$2:$C$10,MATCH($A8,'Category Markup Bands'!$A$2:$A$10,0))</f>
        <v>180</v>
      </c>
      <c r="F8" s="34" t="n">
        <f aca="false">INDEX('Category Markup Bands'!$D$2:$D$10,MATCH($A8,'Category Markup Bands'!$A$2:$A$10,0))</f>
        <v>0.18</v>
      </c>
      <c r="G8" s="35" t="n">
        <f aca="false">E8*(1+F8)</f>
        <v>212.4</v>
      </c>
      <c r="H8" s="35" t="n">
        <f aca="false">G8*D8/1000</f>
        <v>361.08</v>
      </c>
      <c r="I8" s="36"/>
      <c r="J8" s="37" t="str">
        <f aca="false">IF(I8="","",G8*INDEX('Category Markup Bands'!$G$2:$G$10,MATCH($A8,'Category Markup Bands'!$A$2:$A$10,0))*I8/1000)</f>
        <v/>
      </c>
      <c r="K8" s="33" t="n">
        <f aca="false">G8*(1-'Customer Tiers'!$C$3)</f>
        <v>195.408</v>
      </c>
      <c r="L8" s="33" t="n">
        <f aca="false">G8*(1-'Customer Tiers'!$C$4)</f>
        <v>180.54</v>
      </c>
    </row>
    <row r="9" customFormat="false" ht="15" hidden="false" customHeight="true" outlineLevel="0" collapsed="false">
      <c r="A9" s="29" t="s">
        <v>28</v>
      </c>
      <c r="B9" s="30" t="s">
        <v>123</v>
      </c>
      <c r="C9" s="31" t="s">
        <v>116</v>
      </c>
      <c r="D9" s="32" t="n">
        <f aca="false">INDEX('Category Markup Bands'!$B$2:$B$10,MATCH($A9,'Category Markup Bands'!$A$2:$A$10,0))</f>
        <v>1700</v>
      </c>
      <c r="E9" s="33" t="n">
        <f aca="false">INDEX('Category Markup Bands'!$C$2:$C$10,MATCH($A9,'Category Markup Bands'!$A$2:$A$10,0))</f>
        <v>180</v>
      </c>
      <c r="F9" s="34" t="n">
        <f aca="false">INDEX('Category Markup Bands'!$D$2:$D$10,MATCH($A9,'Category Markup Bands'!$A$2:$A$10,0))</f>
        <v>0.18</v>
      </c>
      <c r="G9" s="35" t="n">
        <f aca="false">E9*(1+F9)</f>
        <v>212.4</v>
      </c>
      <c r="H9" s="35" t="n">
        <f aca="false">G9*D9/1000</f>
        <v>361.08</v>
      </c>
      <c r="I9" s="36"/>
      <c r="J9" s="37" t="str">
        <f aca="false">IF(I9="","",G9*INDEX('Category Markup Bands'!$G$2:$G$10,MATCH($A9,'Category Markup Bands'!$A$2:$A$10,0))*I9/1000)</f>
        <v/>
      </c>
      <c r="K9" s="33" t="n">
        <f aca="false">G9*(1-'Customer Tiers'!$C$3)</f>
        <v>195.408</v>
      </c>
      <c r="L9" s="33" t="n">
        <f aca="false">G9*(1-'Customer Tiers'!$C$4)</f>
        <v>180.54</v>
      </c>
    </row>
    <row r="10" customFormat="false" ht="15" hidden="false" customHeight="true" outlineLevel="0" collapsed="false">
      <c r="A10" s="29" t="s">
        <v>28</v>
      </c>
      <c r="B10" s="30" t="s">
        <v>124</v>
      </c>
      <c r="C10" s="31" t="s">
        <v>116</v>
      </c>
      <c r="D10" s="32" t="n">
        <f aca="false">INDEX('Category Markup Bands'!$B$2:$B$10,MATCH($A10,'Category Markup Bands'!$A$2:$A$10,0))</f>
        <v>1700</v>
      </c>
      <c r="E10" s="33" t="n">
        <f aca="false">INDEX('Category Markup Bands'!$C$2:$C$10,MATCH($A10,'Category Markup Bands'!$A$2:$A$10,0))</f>
        <v>180</v>
      </c>
      <c r="F10" s="34" t="n">
        <f aca="false">INDEX('Category Markup Bands'!$D$2:$D$10,MATCH($A10,'Category Markup Bands'!$A$2:$A$10,0))</f>
        <v>0.18</v>
      </c>
      <c r="G10" s="35" t="n">
        <f aca="false">E10*(1+F10)</f>
        <v>212.4</v>
      </c>
      <c r="H10" s="35" t="n">
        <f aca="false">G10*D10/1000</f>
        <v>361.08</v>
      </c>
      <c r="I10" s="36"/>
      <c r="J10" s="37" t="str">
        <f aca="false">IF(I10="","",G10*INDEX('Category Markup Bands'!$G$2:$G$10,MATCH($A10,'Category Markup Bands'!$A$2:$A$10,0))*I10/1000)</f>
        <v/>
      </c>
      <c r="K10" s="33" t="n">
        <f aca="false">G10*(1-'Customer Tiers'!$C$3)</f>
        <v>195.408</v>
      </c>
      <c r="L10" s="33" t="n">
        <f aca="false">G10*(1-'Customer Tiers'!$C$4)</f>
        <v>180.54</v>
      </c>
    </row>
    <row r="11" customFormat="false" ht="15" hidden="false" customHeight="true" outlineLevel="0" collapsed="false">
      <c r="A11" s="29" t="s">
        <v>28</v>
      </c>
      <c r="B11" s="30" t="s">
        <v>125</v>
      </c>
      <c r="C11" s="31" t="s">
        <v>116</v>
      </c>
      <c r="D11" s="32" t="n">
        <f aca="false">INDEX('Category Markup Bands'!$B$2:$B$10,MATCH($A11,'Category Markup Bands'!$A$2:$A$10,0))</f>
        <v>1700</v>
      </c>
      <c r="E11" s="33" t="n">
        <f aca="false">INDEX('Category Markup Bands'!$C$2:$C$10,MATCH($A11,'Category Markup Bands'!$A$2:$A$10,0))</f>
        <v>180</v>
      </c>
      <c r="F11" s="34" t="n">
        <f aca="false">INDEX('Category Markup Bands'!$D$2:$D$10,MATCH($A11,'Category Markup Bands'!$A$2:$A$10,0))</f>
        <v>0.18</v>
      </c>
      <c r="G11" s="35" t="n">
        <f aca="false">E11*(1+F11)</f>
        <v>212.4</v>
      </c>
      <c r="H11" s="35" t="n">
        <f aca="false">G11*D11/1000</f>
        <v>361.08</v>
      </c>
      <c r="I11" s="36"/>
      <c r="J11" s="37" t="str">
        <f aca="false">IF(I11="","",G11*INDEX('Category Markup Bands'!$G$2:$G$10,MATCH($A11,'Category Markup Bands'!$A$2:$A$10,0))*I11/1000)</f>
        <v/>
      </c>
      <c r="K11" s="33" t="n">
        <f aca="false">G11*(1-'Customer Tiers'!$C$3)</f>
        <v>195.408</v>
      </c>
      <c r="L11" s="33" t="n">
        <f aca="false">G11*(1-'Customer Tiers'!$C$4)</f>
        <v>180.54</v>
      </c>
    </row>
    <row r="12" customFormat="false" ht="15" hidden="false" customHeight="true" outlineLevel="0" collapsed="false">
      <c r="A12" s="29" t="s">
        <v>29</v>
      </c>
      <c r="B12" s="30" t="s">
        <v>126</v>
      </c>
      <c r="C12" s="31" t="s">
        <v>127</v>
      </c>
      <c r="D12" s="32" t="n">
        <f aca="false">INDEX('Category Markup Bands'!$B$2:$B$10,MATCH($A12,'Category Markup Bands'!$A$2:$A$10,0))</f>
        <v>1450</v>
      </c>
      <c r="E12" s="33" t="n">
        <f aca="false">INDEX('Category Markup Bands'!$C$2:$C$10,MATCH($A12,'Category Markup Bands'!$A$2:$A$10,0))</f>
        <v>320</v>
      </c>
      <c r="F12" s="34" t="n">
        <f aca="false">INDEX('Category Markup Bands'!$D$2:$D$10,MATCH($A12,'Category Markup Bands'!$A$2:$A$10,0))</f>
        <v>0.25</v>
      </c>
      <c r="G12" s="35" t="n">
        <f aca="false">E12*(1+F12)</f>
        <v>400</v>
      </c>
      <c r="H12" s="35" t="n">
        <f aca="false">G12*D12/1000</f>
        <v>580</v>
      </c>
      <c r="I12" s="36"/>
      <c r="J12" s="37" t="str">
        <f aca="false">IF(I12="","",G12*INDEX('Category Markup Bands'!$G$2:$G$10,MATCH($A12,'Category Markup Bands'!$A$2:$A$10,0))*I12/1000)</f>
        <v/>
      </c>
      <c r="K12" s="33" t="n">
        <f aca="false">G12*(1-'Customer Tiers'!$C$3)</f>
        <v>368</v>
      </c>
      <c r="L12" s="33" t="n">
        <f aca="false">G12*(1-'Customer Tiers'!$C$4)</f>
        <v>340</v>
      </c>
    </row>
    <row r="13" customFormat="false" ht="15" hidden="false" customHeight="true" outlineLevel="0" collapsed="false">
      <c r="A13" s="29" t="s">
        <v>29</v>
      </c>
      <c r="B13" s="30" t="s">
        <v>128</v>
      </c>
      <c r="C13" s="31" t="s">
        <v>127</v>
      </c>
      <c r="D13" s="32" t="n">
        <f aca="false">INDEX('Category Markup Bands'!$B$2:$B$10,MATCH($A13,'Category Markup Bands'!$A$2:$A$10,0))</f>
        <v>1450</v>
      </c>
      <c r="E13" s="33" t="n">
        <f aca="false">INDEX('Category Markup Bands'!$C$2:$C$10,MATCH($A13,'Category Markup Bands'!$A$2:$A$10,0))</f>
        <v>320</v>
      </c>
      <c r="F13" s="34" t="n">
        <f aca="false">INDEX('Category Markup Bands'!$D$2:$D$10,MATCH($A13,'Category Markup Bands'!$A$2:$A$10,0))</f>
        <v>0.25</v>
      </c>
      <c r="G13" s="35" t="n">
        <f aca="false">E13*(1+F13)</f>
        <v>400</v>
      </c>
      <c r="H13" s="35" t="n">
        <f aca="false">G13*D13/1000</f>
        <v>580</v>
      </c>
      <c r="I13" s="36"/>
      <c r="J13" s="37" t="str">
        <f aca="false">IF(I13="","",G13*INDEX('Category Markup Bands'!$G$2:$G$10,MATCH($A13,'Category Markup Bands'!$A$2:$A$10,0))*I13/1000)</f>
        <v/>
      </c>
      <c r="K13" s="33" t="n">
        <f aca="false">G13*(1-'Customer Tiers'!$C$3)</f>
        <v>368</v>
      </c>
      <c r="L13" s="33" t="n">
        <f aca="false">G13*(1-'Customer Tiers'!$C$4)</f>
        <v>340</v>
      </c>
    </row>
    <row r="14" customFormat="false" ht="15" hidden="false" customHeight="true" outlineLevel="0" collapsed="false">
      <c r="A14" s="29" t="s">
        <v>29</v>
      </c>
      <c r="B14" s="30" t="s">
        <v>129</v>
      </c>
      <c r="C14" s="31" t="s">
        <v>127</v>
      </c>
      <c r="D14" s="32" t="n">
        <f aca="false">INDEX('Category Markup Bands'!$B$2:$B$10,MATCH($A14,'Category Markup Bands'!$A$2:$A$10,0))</f>
        <v>1450</v>
      </c>
      <c r="E14" s="33" t="n">
        <f aca="false">INDEX('Category Markup Bands'!$C$2:$C$10,MATCH($A14,'Category Markup Bands'!$A$2:$A$10,0))</f>
        <v>320</v>
      </c>
      <c r="F14" s="34" t="n">
        <f aca="false">INDEX('Category Markup Bands'!$D$2:$D$10,MATCH($A14,'Category Markup Bands'!$A$2:$A$10,0))</f>
        <v>0.25</v>
      </c>
      <c r="G14" s="35" t="n">
        <f aca="false">E14*(1+F14)</f>
        <v>400</v>
      </c>
      <c r="H14" s="35" t="n">
        <f aca="false">G14*D14/1000</f>
        <v>580</v>
      </c>
      <c r="I14" s="36"/>
      <c r="J14" s="37" t="str">
        <f aca="false">IF(I14="","",G14*INDEX('Category Markup Bands'!$G$2:$G$10,MATCH($A14,'Category Markup Bands'!$A$2:$A$10,0))*I14/1000)</f>
        <v/>
      </c>
      <c r="K14" s="33" t="n">
        <f aca="false">G14*(1-'Customer Tiers'!$C$3)</f>
        <v>368</v>
      </c>
      <c r="L14" s="33" t="n">
        <f aca="false">G14*(1-'Customer Tiers'!$C$4)</f>
        <v>340</v>
      </c>
    </row>
    <row r="15" customFormat="false" ht="15" hidden="false" customHeight="true" outlineLevel="0" collapsed="false">
      <c r="A15" s="29" t="s">
        <v>29</v>
      </c>
      <c r="B15" s="30" t="s">
        <v>130</v>
      </c>
      <c r="C15" s="31" t="s">
        <v>127</v>
      </c>
      <c r="D15" s="32" t="n">
        <f aca="false">INDEX('Category Markup Bands'!$B$2:$B$10,MATCH($A15,'Category Markup Bands'!$A$2:$A$10,0))</f>
        <v>1450</v>
      </c>
      <c r="E15" s="33" t="n">
        <f aca="false">INDEX('Category Markup Bands'!$C$2:$C$10,MATCH($A15,'Category Markup Bands'!$A$2:$A$10,0))</f>
        <v>320</v>
      </c>
      <c r="F15" s="34" t="n">
        <f aca="false">INDEX('Category Markup Bands'!$D$2:$D$10,MATCH($A15,'Category Markup Bands'!$A$2:$A$10,0))</f>
        <v>0.25</v>
      </c>
      <c r="G15" s="35" t="n">
        <f aca="false">E15*(1+F15)</f>
        <v>400</v>
      </c>
      <c r="H15" s="35" t="n">
        <f aca="false">G15*D15/1000</f>
        <v>580</v>
      </c>
      <c r="I15" s="36"/>
      <c r="J15" s="37" t="str">
        <f aca="false">IF(I15="","",G15*INDEX('Category Markup Bands'!$G$2:$G$10,MATCH($A15,'Category Markup Bands'!$A$2:$A$10,0))*I15/1000)</f>
        <v/>
      </c>
      <c r="K15" s="33" t="n">
        <f aca="false">G15*(1-'Customer Tiers'!$C$3)</f>
        <v>368</v>
      </c>
      <c r="L15" s="33" t="n">
        <f aca="false">G15*(1-'Customer Tiers'!$C$4)</f>
        <v>340</v>
      </c>
    </row>
    <row r="16" customFormat="false" ht="15" hidden="false" customHeight="true" outlineLevel="0" collapsed="false">
      <c r="A16" s="29" t="s">
        <v>29</v>
      </c>
      <c r="B16" s="30" t="s">
        <v>131</v>
      </c>
      <c r="C16" s="31" t="s">
        <v>127</v>
      </c>
      <c r="D16" s="32" t="n">
        <f aca="false">INDEX('Category Markup Bands'!$B$2:$B$10,MATCH($A16,'Category Markup Bands'!$A$2:$A$10,0))</f>
        <v>1450</v>
      </c>
      <c r="E16" s="33" t="n">
        <f aca="false">INDEX('Category Markup Bands'!$C$2:$C$10,MATCH($A16,'Category Markup Bands'!$A$2:$A$10,0))</f>
        <v>320</v>
      </c>
      <c r="F16" s="34" t="n">
        <f aca="false">INDEX('Category Markup Bands'!$D$2:$D$10,MATCH($A16,'Category Markup Bands'!$A$2:$A$10,0))</f>
        <v>0.25</v>
      </c>
      <c r="G16" s="35" t="n">
        <f aca="false">E16*(1+F16)</f>
        <v>400</v>
      </c>
      <c r="H16" s="35" t="n">
        <f aca="false">G16*D16/1000</f>
        <v>580</v>
      </c>
      <c r="I16" s="36"/>
      <c r="J16" s="37" t="str">
        <f aca="false">IF(I16="","",G16*INDEX('Category Markup Bands'!$G$2:$G$10,MATCH($A16,'Category Markup Bands'!$A$2:$A$10,0))*I16/1000)</f>
        <v/>
      </c>
      <c r="K16" s="33" t="n">
        <f aca="false">G16*(1-'Customer Tiers'!$C$3)</f>
        <v>368</v>
      </c>
      <c r="L16" s="33" t="n">
        <f aca="false">G16*(1-'Customer Tiers'!$C$4)</f>
        <v>340</v>
      </c>
    </row>
    <row r="17" customFormat="false" ht="15" hidden="false" customHeight="true" outlineLevel="0" collapsed="false">
      <c r="A17" s="29" t="s">
        <v>29</v>
      </c>
      <c r="B17" s="30" t="s">
        <v>132</v>
      </c>
      <c r="C17" s="31" t="s">
        <v>127</v>
      </c>
      <c r="D17" s="32" t="n">
        <f aca="false">INDEX('Category Markup Bands'!$B$2:$B$10,MATCH($A17,'Category Markup Bands'!$A$2:$A$10,0))</f>
        <v>1450</v>
      </c>
      <c r="E17" s="33" t="n">
        <f aca="false">INDEX('Category Markup Bands'!$C$2:$C$10,MATCH($A17,'Category Markup Bands'!$A$2:$A$10,0))</f>
        <v>320</v>
      </c>
      <c r="F17" s="34" t="n">
        <f aca="false">INDEX('Category Markup Bands'!$D$2:$D$10,MATCH($A17,'Category Markup Bands'!$A$2:$A$10,0))</f>
        <v>0.25</v>
      </c>
      <c r="G17" s="35" t="n">
        <f aca="false">E17*(1+F17)</f>
        <v>400</v>
      </c>
      <c r="H17" s="35" t="n">
        <f aca="false">G17*D17/1000</f>
        <v>580</v>
      </c>
      <c r="I17" s="36"/>
      <c r="J17" s="37" t="str">
        <f aca="false">IF(I17="","",G17*INDEX('Category Markup Bands'!$G$2:$G$10,MATCH($A17,'Category Markup Bands'!$A$2:$A$10,0))*I17/1000)</f>
        <v/>
      </c>
      <c r="K17" s="33" t="n">
        <f aca="false">G17*(1-'Customer Tiers'!$C$3)</f>
        <v>368</v>
      </c>
      <c r="L17" s="33" t="n">
        <f aca="false">G17*(1-'Customer Tiers'!$C$4)</f>
        <v>340</v>
      </c>
    </row>
    <row r="18" customFormat="false" ht="15" hidden="false" customHeight="true" outlineLevel="0" collapsed="false">
      <c r="A18" s="29" t="s">
        <v>29</v>
      </c>
      <c r="B18" s="30" t="s">
        <v>133</v>
      </c>
      <c r="C18" s="31" t="s">
        <v>127</v>
      </c>
      <c r="D18" s="32" t="n">
        <f aca="false">INDEX('Category Markup Bands'!$B$2:$B$10,MATCH($A18,'Category Markup Bands'!$A$2:$A$10,0))</f>
        <v>1450</v>
      </c>
      <c r="E18" s="33" t="n">
        <f aca="false">INDEX('Category Markup Bands'!$C$2:$C$10,MATCH($A18,'Category Markup Bands'!$A$2:$A$10,0))</f>
        <v>320</v>
      </c>
      <c r="F18" s="34" t="n">
        <f aca="false">INDEX('Category Markup Bands'!$D$2:$D$10,MATCH($A18,'Category Markup Bands'!$A$2:$A$10,0))</f>
        <v>0.25</v>
      </c>
      <c r="G18" s="35" t="n">
        <f aca="false">E18*(1+F18)</f>
        <v>400</v>
      </c>
      <c r="H18" s="35" t="n">
        <f aca="false">G18*D18/1000</f>
        <v>580</v>
      </c>
      <c r="I18" s="36"/>
      <c r="J18" s="37" t="str">
        <f aca="false">IF(I18="","",G18*INDEX('Category Markup Bands'!$G$2:$G$10,MATCH($A18,'Category Markup Bands'!$A$2:$A$10,0))*I18/1000)</f>
        <v/>
      </c>
      <c r="K18" s="33" t="n">
        <f aca="false">G18*(1-'Customer Tiers'!$C$3)</f>
        <v>368</v>
      </c>
      <c r="L18" s="33" t="n">
        <f aca="false">G18*(1-'Customer Tiers'!$C$4)</f>
        <v>340</v>
      </c>
    </row>
    <row r="19" customFormat="false" ht="15" hidden="false" customHeight="true" outlineLevel="0" collapsed="false">
      <c r="A19" s="29" t="s">
        <v>29</v>
      </c>
      <c r="B19" s="30" t="s">
        <v>134</v>
      </c>
      <c r="C19" s="31" t="s">
        <v>127</v>
      </c>
      <c r="D19" s="32" t="n">
        <f aca="false">INDEX('Category Markup Bands'!$B$2:$B$10,MATCH($A19,'Category Markup Bands'!$A$2:$A$10,0))</f>
        <v>1450</v>
      </c>
      <c r="E19" s="33" t="n">
        <f aca="false">INDEX('Category Markup Bands'!$C$2:$C$10,MATCH($A19,'Category Markup Bands'!$A$2:$A$10,0))</f>
        <v>320</v>
      </c>
      <c r="F19" s="34" t="n">
        <f aca="false">INDEX('Category Markup Bands'!$D$2:$D$10,MATCH($A19,'Category Markup Bands'!$A$2:$A$10,0))</f>
        <v>0.25</v>
      </c>
      <c r="G19" s="35" t="n">
        <f aca="false">E19*(1+F19)</f>
        <v>400</v>
      </c>
      <c r="H19" s="35" t="n">
        <f aca="false">G19*D19/1000</f>
        <v>580</v>
      </c>
      <c r="I19" s="36"/>
      <c r="J19" s="37" t="str">
        <f aca="false">IF(I19="","",G19*INDEX('Category Markup Bands'!$G$2:$G$10,MATCH($A19,'Category Markup Bands'!$A$2:$A$10,0))*I19/1000)</f>
        <v/>
      </c>
      <c r="K19" s="33" t="n">
        <f aca="false">G19*(1-'Customer Tiers'!$C$3)</f>
        <v>368</v>
      </c>
      <c r="L19" s="33" t="n">
        <f aca="false">G19*(1-'Customer Tiers'!$C$4)</f>
        <v>340</v>
      </c>
    </row>
    <row r="20" customFormat="false" ht="15" hidden="false" customHeight="true" outlineLevel="0" collapsed="false">
      <c r="A20" s="29" t="s">
        <v>29</v>
      </c>
      <c r="B20" s="30" t="s">
        <v>135</v>
      </c>
      <c r="C20" s="31" t="s">
        <v>127</v>
      </c>
      <c r="D20" s="32" t="n">
        <f aca="false">INDEX('Category Markup Bands'!$B$2:$B$10,MATCH($A20,'Category Markup Bands'!$A$2:$A$10,0))</f>
        <v>1450</v>
      </c>
      <c r="E20" s="33" t="n">
        <f aca="false">INDEX('Category Markup Bands'!$C$2:$C$10,MATCH($A20,'Category Markup Bands'!$A$2:$A$10,0))</f>
        <v>320</v>
      </c>
      <c r="F20" s="34" t="n">
        <f aca="false">INDEX('Category Markup Bands'!$D$2:$D$10,MATCH($A20,'Category Markup Bands'!$A$2:$A$10,0))</f>
        <v>0.25</v>
      </c>
      <c r="G20" s="35" t="n">
        <f aca="false">E20*(1+F20)</f>
        <v>400</v>
      </c>
      <c r="H20" s="35" t="n">
        <f aca="false">G20*D20/1000</f>
        <v>580</v>
      </c>
      <c r="I20" s="36"/>
      <c r="J20" s="37" t="str">
        <f aca="false">IF(I20="","",G20*INDEX('Category Markup Bands'!$G$2:$G$10,MATCH($A20,'Category Markup Bands'!$A$2:$A$10,0))*I20/1000)</f>
        <v/>
      </c>
      <c r="K20" s="33" t="n">
        <f aca="false">G20*(1-'Customer Tiers'!$C$3)</f>
        <v>368</v>
      </c>
      <c r="L20" s="33" t="n">
        <f aca="false">G20*(1-'Customer Tiers'!$C$4)</f>
        <v>340</v>
      </c>
    </row>
    <row r="21" customFormat="false" ht="15" hidden="false" customHeight="true" outlineLevel="0" collapsed="false">
      <c r="A21" s="29" t="s">
        <v>29</v>
      </c>
      <c r="B21" s="30" t="s">
        <v>136</v>
      </c>
      <c r="C21" s="31" t="s">
        <v>127</v>
      </c>
      <c r="D21" s="32" t="n">
        <f aca="false">INDEX('Category Markup Bands'!$B$2:$B$10,MATCH($A21,'Category Markup Bands'!$A$2:$A$10,0))</f>
        <v>1450</v>
      </c>
      <c r="E21" s="33" t="n">
        <f aca="false">INDEX('Category Markup Bands'!$C$2:$C$10,MATCH($A21,'Category Markup Bands'!$A$2:$A$10,0))</f>
        <v>320</v>
      </c>
      <c r="F21" s="34" t="n">
        <f aca="false">INDEX('Category Markup Bands'!$D$2:$D$10,MATCH($A21,'Category Markup Bands'!$A$2:$A$10,0))</f>
        <v>0.25</v>
      </c>
      <c r="G21" s="35" t="n">
        <f aca="false">E21*(1+F21)</f>
        <v>400</v>
      </c>
      <c r="H21" s="35" t="n">
        <f aca="false">G21*D21/1000</f>
        <v>580</v>
      </c>
      <c r="I21" s="36"/>
      <c r="J21" s="37" t="str">
        <f aca="false">IF(I21="","",G21*INDEX('Category Markup Bands'!$G$2:$G$10,MATCH($A21,'Category Markup Bands'!$A$2:$A$10,0))*I21/1000)</f>
        <v/>
      </c>
      <c r="K21" s="33" t="n">
        <f aca="false">G21*(1-'Customer Tiers'!$C$3)</f>
        <v>368</v>
      </c>
      <c r="L21" s="33" t="n">
        <f aca="false">G21*(1-'Customer Tiers'!$C$4)</f>
        <v>340</v>
      </c>
    </row>
    <row r="22" customFormat="false" ht="15" hidden="false" customHeight="true" outlineLevel="0" collapsed="false">
      <c r="A22" s="29" t="s">
        <v>30</v>
      </c>
      <c r="B22" s="30" t="s">
        <v>137</v>
      </c>
      <c r="C22" s="31" t="s">
        <v>116</v>
      </c>
      <c r="D22" s="32" t="n">
        <f aca="false">INDEX('Category Markup Bands'!$B$2:$B$10,MATCH($A22,'Category Markup Bands'!$A$2:$A$10,0))</f>
        <v>1550</v>
      </c>
      <c r="E22" s="33" t="n">
        <f aca="false">INDEX('Category Markup Bands'!$C$2:$C$10,MATCH($A22,'Category Markup Bands'!$A$2:$A$10,0))</f>
        <v>280</v>
      </c>
      <c r="F22" s="34" t="n">
        <f aca="false">INDEX('Category Markup Bands'!$D$2:$D$10,MATCH($A22,'Category Markup Bands'!$A$2:$A$10,0))</f>
        <v>0.28</v>
      </c>
      <c r="G22" s="35" t="n">
        <f aca="false">E22*(1+F22)</f>
        <v>358.4</v>
      </c>
      <c r="H22" s="35" t="n">
        <f aca="false">G22*D22/1000</f>
        <v>555.52</v>
      </c>
      <c r="I22" s="36"/>
      <c r="J22" s="37" t="str">
        <f aca="false">IF(I22="","",G22*INDEX('Category Markup Bands'!$G$2:$G$10,MATCH($A22,'Category Markup Bands'!$A$2:$A$10,0))*I22/1000)</f>
        <v/>
      </c>
      <c r="K22" s="33" t="n">
        <f aca="false">G22*(1-'Customer Tiers'!$C$3)</f>
        <v>329.728</v>
      </c>
      <c r="L22" s="33" t="n">
        <f aca="false">G22*(1-'Customer Tiers'!$C$4)</f>
        <v>304.64</v>
      </c>
    </row>
    <row r="23" customFormat="false" ht="15" hidden="false" customHeight="true" outlineLevel="0" collapsed="false">
      <c r="A23" s="29" t="s">
        <v>30</v>
      </c>
      <c r="B23" s="30" t="s">
        <v>138</v>
      </c>
      <c r="C23" s="31" t="s">
        <v>116</v>
      </c>
      <c r="D23" s="32" t="n">
        <f aca="false">INDEX('Category Markup Bands'!$B$2:$B$10,MATCH($A23,'Category Markup Bands'!$A$2:$A$10,0))</f>
        <v>1550</v>
      </c>
      <c r="E23" s="33" t="n">
        <f aca="false">INDEX('Category Markup Bands'!$C$2:$C$10,MATCH($A23,'Category Markup Bands'!$A$2:$A$10,0))</f>
        <v>280</v>
      </c>
      <c r="F23" s="34" t="n">
        <f aca="false">INDEX('Category Markup Bands'!$D$2:$D$10,MATCH($A23,'Category Markup Bands'!$A$2:$A$10,0))</f>
        <v>0.28</v>
      </c>
      <c r="G23" s="35" t="n">
        <f aca="false">E23*(1+F23)</f>
        <v>358.4</v>
      </c>
      <c r="H23" s="35" t="n">
        <f aca="false">G23*D23/1000</f>
        <v>555.52</v>
      </c>
      <c r="I23" s="36"/>
      <c r="J23" s="37" t="str">
        <f aca="false">IF(I23="","",G23*INDEX('Category Markup Bands'!$G$2:$G$10,MATCH($A23,'Category Markup Bands'!$A$2:$A$10,0))*I23/1000)</f>
        <v/>
      </c>
      <c r="K23" s="33" t="n">
        <f aca="false">G23*(1-'Customer Tiers'!$C$3)</f>
        <v>329.728</v>
      </c>
      <c r="L23" s="33" t="n">
        <f aca="false">G23*(1-'Customer Tiers'!$C$4)</f>
        <v>304.64</v>
      </c>
    </row>
    <row r="24" customFormat="false" ht="15" hidden="false" customHeight="true" outlineLevel="0" collapsed="false">
      <c r="A24" s="29" t="s">
        <v>30</v>
      </c>
      <c r="B24" s="30" t="s">
        <v>139</v>
      </c>
      <c r="C24" s="31" t="s">
        <v>116</v>
      </c>
      <c r="D24" s="32" t="n">
        <f aca="false">INDEX('Category Markup Bands'!$B$2:$B$10,MATCH($A24,'Category Markup Bands'!$A$2:$A$10,0))</f>
        <v>1550</v>
      </c>
      <c r="E24" s="33" t="n">
        <f aca="false">INDEX('Category Markup Bands'!$C$2:$C$10,MATCH($A24,'Category Markup Bands'!$A$2:$A$10,0))</f>
        <v>280</v>
      </c>
      <c r="F24" s="34" t="n">
        <f aca="false">INDEX('Category Markup Bands'!$D$2:$D$10,MATCH($A24,'Category Markup Bands'!$A$2:$A$10,0))</f>
        <v>0.28</v>
      </c>
      <c r="G24" s="35" t="n">
        <f aca="false">E24*(1+F24)</f>
        <v>358.4</v>
      </c>
      <c r="H24" s="35" t="n">
        <f aca="false">G24*D24/1000</f>
        <v>555.52</v>
      </c>
      <c r="I24" s="36"/>
      <c r="J24" s="37" t="str">
        <f aca="false">IF(I24="","",G24*INDEX('Category Markup Bands'!$G$2:$G$10,MATCH($A24,'Category Markup Bands'!$A$2:$A$10,0))*I24/1000)</f>
        <v/>
      </c>
      <c r="K24" s="33" t="n">
        <f aca="false">G24*(1-'Customer Tiers'!$C$3)</f>
        <v>329.728</v>
      </c>
      <c r="L24" s="33" t="n">
        <f aca="false">G24*(1-'Customer Tiers'!$C$4)</f>
        <v>304.64</v>
      </c>
    </row>
    <row r="25" customFormat="false" ht="15" hidden="false" customHeight="true" outlineLevel="0" collapsed="false">
      <c r="A25" s="29" t="s">
        <v>30</v>
      </c>
      <c r="B25" s="30" t="s">
        <v>140</v>
      </c>
      <c r="C25" s="31" t="s">
        <v>116</v>
      </c>
      <c r="D25" s="32" t="n">
        <f aca="false">INDEX('Category Markup Bands'!$B$2:$B$10,MATCH($A25,'Category Markup Bands'!$A$2:$A$10,0))</f>
        <v>1550</v>
      </c>
      <c r="E25" s="33" t="n">
        <f aca="false">INDEX('Category Markup Bands'!$C$2:$C$10,MATCH($A25,'Category Markup Bands'!$A$2:$A$10,0))</f>
        <v>280</v>
      </c>
      <c r="F25" s="34" t="n">
        <f aca="false">INDEX('Category Markup Bands'!$D$2:$D$10,MATCH($A25,'Category Markup Bands'!$A$2:$A$10,0))</f>
        <v>0.28</v>
      </c>
      <c r="G25" s="35" t="n">
        <f aca="false">E25*(1+F25)</f>
        <v>358.4</v>
      </c>
      <c r="H25" s="35" t="n">
        <f aca="false">G25*D25/1000</f>
        <v>555.52</v>
      </c>
      <c r="I25" s="36"/>
      <c r="J25" s="37" t="str">
        <f aca="false">IF(I25="","",G25*INDEX('Category Markup Bands'!$G$2:$G$10,MATCH($A25,'Category Markup Bands'!$A$2:$A$10,0))*I25/1000)</f>
        <v/>
      </c>
      <c r="K25" s="33" t="n">
        <f aca="false">G25*(1-'Customer Tiers'!$C$3)</f>
        <v>329.728</v>
      </c>
      <c r="L25" s="33" t="n">
        <f aca="false">G25*(1-'Customer Tiers'!$C$4)</f>
        <v>304.64</v>
      </c>
    </row>
    <row r="26" customFormat="false" ht="15" hidden="false" customHeight="true" outlineLevel="0" collapsed="false">
      <c r="A26" s="29" t="s">
        <v>30</v>
      </c>
      <c r="B26" s="30" t="s">
        <v>141</v>
      </c>
      <c r="C26" s="31" t="s">
        <v>116</v>
      </c>
      <c r="D26" s="32" t="n">
        <f aca="false">INDEX('Category Markup Bands'!$B$2:$B$10,MATCH($A26,'Category Markup Bands'!$A$2:$A$10,0))</f>
        <v>1550</v>
      </c>
      <c r="E26" s="33" t="n">
        <f aca="false">INDEX('Category Markup Bands'!$C$2:$C$10,MATCH($A26,'Category Markup Bands'!$A$2:$A$10,0))</f>
        <v>280</v>
      </c>
      <c r="F26" s="34" t="n">
        <f aca="false">INDEX('Category Markup Bands'!$D$2:$D$10,MATCH($A26,'Category Markup Bands'!$A$2:$A$10,0))</f>
        <v>0.28</v>
      </c>
      <c r="G26" s="35" t="n">
        <f aca="false">E26*(1+F26)</f>
        <v>358.4</v>
      </c>
      <c r="H26" s="35" t="n">
        <f aca="false">G26*D26/1000</f>
        <v>555.52</v>
      </c>
      <c r="I26" s="36"/>
      <c r="J26" s="37" t="str">
        <f aca="false">IF(I26="","",G26*INDEX('Category Markup Bands'!$G$2:$G$10,MATCH($A26,'Category Markup Bands'!$A$2:$A$10,0))*I26/1000)</f>
        <v/>
      </c>
      <c r="K26" s="33" t="n">
        <f aca="false">G26*(1-'Customer Tiers'!$C$3)</f>
        <v>329.728</v>
      </c>
      <c r="L26" s="33" t="n">
        <f aca="false">G26*(1-'Customer Tiers'!$C$4)</f>
        <v>304.64</v>
      </c>
    </row>
    <row r="27" customFormat="false" ht="15" hidden="false" customHeight="true" outlineLevel="0" collapsed="false">
      <c r="A27" s="29" t="s">
        <v>30</v>
      </c>
      <c r="B27" s="30" t="s">
        <v>142</v>
      </c>
      <c r="C27" s="31" t="s">
        <v>116</v>
      </c>
      <c r="D27" s="32" t="n">
        <f aca="false">INDEX('Category Markup Bands'!$B$2:$B$10,MATCH($A27,'Category Markup Bands'!$A$2:$A$10,0))</f>
        <v>1550</v>
      </c>
      <c r="E27" s="33" t="n">
        <f aca="false">INDEX('Category Markup Bands'!$C$2:$C$10,MATCH($A27,'Category Markup Bands'!$A$2:$A$10,0))</f>
        <v>280</v>
      </c>
      <c r="F27" s="34" t="n">
        <f aca="false">INDEX('Category Markup Bands'!$D$2:$D$10,MATCH($A27,'Category Markup Bands'!$A$2:$A$10,0))</f>
        <v>0.28</v>
      </c>
      <c r="G27" s="35" t="n">
        <f aca="false">E27*(1+F27)</f>
        <v>358.4</v>
      </c>
      <c r="H27" s="35" t="n">
        <f aca="false">G27*D27/1000</f>
        <v>555.52</v>
      </c>
      <c r="I27" s="36"/>
      <c r="J27" s="37" t="str">
        <f aca="false">IF(I27="","",G27*INDEX('Category Markup Bands'!$G$2:$G$10,MATCH($A27,'Category Markup Bands'!$A$2:$A$10,0))*I27/1000)</f>
        <v/>
      </c>
      <c r="K27" s="33" t="n">
        <f aca="false">G27*(1-'Customer Tiers'!$C$3)</f>
        <v>329.728</v>
      </c>
      <c r="L27" s="33" t="n">
        <f aca="false">G27*(1-'Customer Tiers'!$C$4)</f>
        <v>304.64</v>
      </c>
    </row>
    <row r="28" customFormat="false" ht="15" hidden="false" customHeight="true" outlineLevel="0" collapsed="false">
      <c r="A28" s="29" t="s">
        <v>30</v>
      </c>
      <c r="B28" s="30" t="s">
        <v>143</v>
      </c>
      <c r="C28" s="31" t="s">
        <v>144</v>
      </c>
      <c r="D28" s="32" t="n">
        <f aca="false">INDEX('Category Markup Bands'!$B$2:$B$10,MATCH($A28,'Category Markup Bands'!$A$2:$A$10,0))</f>
        <v>1550</v>
      </c>
      <c r="E28" s="33" t="n">
        <f aca="false">INDEX('Category Markup Bands'!$C$2:$C$10,MATCH($A28,'Category Markup Bands'!$A$2:$A$10,0))</f>
        <v>280</v>
      </c>
      <c r="F28" s="34" t="n">
        <f aca="false">INDEX('Category Markup Bands'!$D$2:$D$10,MATCH($A28,'Category Markup Bands'!$A$2:$A$10,0))</f>
        <v>0.28</v>
      </c>
      <c r="G28" s="35" t="n">
        <f aca="false">E28*(1+F28)</f>
        <v>358.4</v>
      </c>
      <c r="H28" s="35" t="n">
        <f aca="false">G28*D28/1000</f>
        <v>555.52</v>
      </c>
      <c r="I28" s="38" t="n">
        <v>25</v>
      </c>
      <c r="J28" s="37" t="n">
        <f aca="false">IF(I28="","",G28*INDEX('Category Markup Bands'!$G$2:$G$10,MATCH($A28,'Category Markup Bands'!$A$2:$A$10,0))*I28/1000)</f>
        <v>24.192</v>
      </c>
      <c r="K28" s="33" t="n">
        <f aca="false">G28*(1-'Customer Tiers'!$C$3)</f>
        <v>329.728</v>
      </c>
      <c r="L28" s="33" t="n">
        <f aca="false">G28*(1-'Customer Tiers'!$C$4)</f>
        <v>304.64</v>
      </c>
    </row>
    <row r="29" customFormat="false" ht="15" hidden="false" customHeight="true" outlineLevel="0" collapsed="false">
      <c r="A29" s="29" t="s">
        <v>31</v>
      </c>
      <c r="B29" s="30" t="s">
        <v>145</v>
      </c>
      <c r="C29" s="31" t="s">
        <v>116</v>
      </c>
      <c r="D29" s="32" t="n">
        <f aca="false">INDEX('Category Markup Bands'!$B$2:$B$10,MATCH($A29,'Category Markup Bands'!$A$2:$A$10,0))</f>
        <v>1800</v>
      </c>
      <c r="E29" s="33" t="n">
        <f aca="false">INDEX('Category Markup Bands'!$C$2:$C$10,MATCH($A29,'Category Markup Bands'!$A$2:$A$10,0))</f>
        <v>190</v>
      </c>
      <c r="F29" s="34" t="n">
        <f aca="false">INDEX('Category Markup Bands'!$D$2:$D$10,MATCH($A29,'Category Markup Bands'!$A$2:$A$10,0))</f>
        <v>0.18</v>
      </c>
      <c r="G29" s="35" t="n">
        <f aca="false">E29*(1+F29)</f>
        <v>224.2</v>
      </c>
      <c r="H29" s="35" t="n">
        <f aca="false">G29*D29/1000</f>
        <v>403.56</v>
      </c>
      <c r="I29" s="36"/>
      <c r="J29" s="37" t="str">
        <f aca="false">IF(I29="","",G29*INDEX('Category Markup Bands'!$G$2:$G$10,MATCH($A29,'Category Markup Bands'!$A$2:$A$10,0))*I29/1000)</f>
        <v/>
      </c>
      <c r="K29" s="33" t="n">
        <f aca="false">G29*(1-'Customer Tiers'!$C$3)</f>
        <v>206.264</v>
      </c>
      <c r="L29" s="33" t="n">
        <f aca="false">G29*(1-'Customer Tiers'!$C$4)</f>
        <v>190.57</v>
      </c>
    </row>
    <row r="30" customFormat="false" ht="15" hidden="false" customHeight="true" outlineLevel="0" collapsed="false">
      <c r="A30" s="29" t="s">
        <v>31</v>
      </c>
      <c r="B30" s="30" t="s">
        <v>146</v>
      </c>
      <c r="C30" s="31" t="s">
        <v>116</v>
      </c>
      <c r="D30" s="32" t="n">
        <f aca="false">INDEX('Category Markup Bands'!$B$2:$B$10,MATCH($A30,'Category Markup Bands'!$A$2:$A$10,0))</f>
        <v>1800</v>
      </c>
      <c r="E30" s="33" t="n">
        <f aca="false">INDEX('Category Markup Bands'!$C$2:$C$10,MATCH($A30,'Category Markup Bands'!$A$2:$A$10,0))</f>
        <v>190</v>
      </c>
      <c r="F30" s="34" t="n">
        <f aca="false">INDEX('Category Markup Bands'!$D$2:$D$10,MATCH($A30,'Category Markup Bands'!$A$2:$A$10,0))</f>
        <v>0.18</v>
      </c>
      <c r="G30" s="35" t="n">
        <f aca="false">E30*(1+F30)</f>
        <v>224.2</v>
      </c>
      <c r="H30" s="35" t="n">
        <f aca="false">G30*D30/1000</f>
        <v>403.56</v>
      </c>
      <c r="I30" s="36"/>
      <c r="J30" s="37" t="str">
        <f aca="false">IF(I30="","",G30*INDEX('Category Markup Bands'!$G$2:$G$10,MATCH($A30,'Category Markup Bands'!$A$2:$A$10,0))*I30/1000)</f>
        <v/>
      </c>
      <c r="K30" s="33" t="n">
        <f aca="false">G30*(1-'Customer Tiers'!$C$3)</f>
        <v>206.264</v>
      </c>
      <c r="L30" s="33" t="n">
        <f aca="false">G30*(1-'Customer Tiers'!$C$4)</f>
        <v>190.57</v>
      </c>
    </row>
    <row r="31" customFormat="false" ht="15" hidden="false" customHeight="true" outlineLevel="0" collapsed="false">
      <c r="A31" s="29" t="s">
        <v>31</v>
      </c>
      <c r="B31" s="30" t="s">
        <v>147</v>
      </c>
      <c r="C31" s="31" t="s">
        <v>127</v>
      </c>
      <c r="D31" s="32" t="n">
        <f aca="false">INDEX('Category Markup Bands'!$B$2:$B$10,MATCH($A31,'Category Markup Bands'!$A$2:$A$10,0))</f>
        <v>1800</v>
      </c>
      <c r="E31" s="33" t="n">
        <f aca="false">INDEX('Category Markup Bands'!$C$2:$C$10,MATCH($A31,'Category Markup Bands'!$A$2:$A$10,0))</f>
        <v>190</v>
      </c>
      <c r="F31" s="34" t="n">
        <f aca="false">INDEX('Category Markup Bands'!$D$2:$D$10,MATCH($A31,'Category Markup Bands'!$A$2:$A$10,0))</f>
        <v>0.18</v>
      </c>
      <c r="G31" s="35" t="n">
        <f aca="false">E31*(1+F31)</f>
        <v>224.2</v>
      </c>
      <c r="H31" s="35" t="n">
        <f aca="false">G31*D31/1000</f>
        <v>403.56</v>
      </c>
      <c r="I31" s="36"/>
      <c r="J31" s="37" t="str">
        <f aca="false">IF(I31="","",G31*INDEX('Category Markup Bands'!$G$2:$G$10,MATCH($A31,'Category Markup Bands'!$A$2:$A$10,0))*I31/1000)</f>
        <v/>
      </c>
      <c r="K31" s="33" t="n">
        <f aca="false">G31*(1-'Customer Tiers'!$C$3)</f>
        <v>206.264</v>
      </c>
      <c r="L31" s="33" t="n">
        <f aca="false">G31*(1-'Customer Tiers'!$C$4)</f>
        <v>190.57</v>
      </c>
    </row>
    <row r="32" customFormat="false" ht="15" hidden="false" customHeight="true" outlineLevel="0" collapsed="false">
      <c r="A32" s="29" t="s">
        <v>31</v>
      </c>
      <c r="B32" s="30" t="s">
        <v>148</v>
      </c>
      <c r="C32" s="31" t="s">
        <v>127</v>
      </c>
      <c r="D32" s="32" t="n">
        <f aca="false">INDEX('Category Markup Bands'!$B$2:$B$10,MATCH($A32,'Category Markup Bands'!$A$2:$A$10,0))</f>
        <v>1800</v>
      </c>
      <c r="E32" s="33" t="n">
        <f aca="false">INDEX('Category Markup Bands'!$C$2:$C$10,MATCH($A32,'Category Markup Bands'!$A$2:$A$10,0))</f>
        <v>190</v>
      </c>
      <c r="F32" s="34" t="n">
        <f aca="false">INDEX('Category Markup Bands'!$D$2:$D$10,MATCH($A32,'Category Markup Bands'!$A$2:$A$10,0))</f>
        <v>0.18</v>
      </c>
      <c r="G32" s="35" t="n">
        <f aca="false">E32*(1+F32)</f>
        <v>224.2</v>
      </c>
      <c r="H32" s="35" t="n">
        <f aca="false">G32*D32/1000</f>
        <v>403.56</v>
      </c>
      <c r="I32" s="36"/>
      <c r="J32" s="37" t="str">
        <f aca="false">IF(I32="","",G32*INDEX('Category Markup Bands'!$G$2:$G$10,MATCH($A32,'Category Markup Bands'!$A$2:$A$10,0))*I32/1000)</f>
        <v/>
      </c>
      <c r="K32" s="33" t="n">
        <f aca="false">G32*(1-'Customer Tiers'!$C$3)</f>
        <v>206.264</v>
      </c>
      <c r="L32" s="33" t="n">
        <f aca="false">G32*(1-'Customer Tiers'!$C$4)</f>
        <v>190.57</v>
      </c>
    </row>
    <row r="33" customFormat="false" ht="15" hidden="false" customHeight="true" outlineLevel="0" collapsed="false">
      <c r="A33" s="29" t="s">
        <v>32</v>
      </c>
      <c r="B33" s="30" t="s">
        <v>149</v>
      </c>
      <c r="C33" s="31" t="s">
        <v>127</v>
      </c>
      <c r="D33" s="32" t="n">
        <f aca="false">INDEX('Category Markup Bands'!$B$2:$B$10,MATCH($A33,'Category Markup Bands'!$A$2:$A$10,0))</f>
        <v>1600</v>
      </c>
      <c r="E33" s="33" t="n">
        <f aca="false">INDEX('Category Markup Bands'!$C$2:$C$10,MATCH($A33,'Category Markup Bands'!$A$2:$A$10,0))</f>
        <v>210</v>
      </c>
      <c r="F33" s="34" t="n">
        <f aca="false">INDEX('Category Markup Bands'!$D$2:$D$10,MATCH($A33,'Category Markup Bands'!$A$2:$A$10,0))</f>
        <v>0.22</v>
      </c>
      <c r="G33" s="35" t="n">
        <f aca="false">E33*(1+F33)</f>
        <v>256.2</v>
      </c>
      <c r="H33" s="35" t="n">
        <f aca="false">G33*D33/1000</f>
        <v>409.92</v>
      </c>
      <c r="I33" s="36"/>
      <c r="J33" s="37" t="str">
        <f aca="false">IF(I33="","",G33*INDEX('Category Markup Bands'!$G$2:$G$10,MATCH($A33,'Category Markup Bands'!$A$2:$A$10,0))*I33/1000)</f>
        <v/>
      </c>
      <c r="K33" s="33" t="n">
        <f aca="false">G33*(1-'Customer Tiers'!$C$3)</f>
        <v>235.704</v>
      </c>
      <c r="L33" s="33" t="n">
        <f aca="false">G33*(1-'Customer Tiers'!$C$4)</f>
        <v>217.77</v>
      </c>
    </row>
    <row r="34" customFormat="false" ht="15" hidden="false" customHeight="true" outlineLevel="0" collapsed="false">
      <c r="A34" s="29" t="s">
        <v>32</v>
      </c>
      <c r="B34" s="30" t="s">
        <v>150</v>
      </c>
      <c r="C34" s="31" t="s">
        <v>127</v>
      </c>
      <c r="D34" s="32" t="n">
        <f aca="false">INDEX('Category Markup Bands'!$B$2:$B$10,MATCH($A34,'Category Markup Bands'!$A$2:$A$10,0))</f>
        <v>1600</v>
      </c>
      <c r="E34" s="33" t="n">
        <f aca="false">INDEX('Category Markup Bands'!$C$2:$C$10,MATCH($A34,'Category Markup Bands'!$A$2:$A$10,0))</f>
        <v>210</v>
      </c>
      <c r="F34" s="34" t="n">
        <f aca="false">INDEX('Category Markup Bands'!$D$2:$D$10,MATCH($A34,'Category Markup Bands'!$A$2:$A$10,0))</f>
        <v>0.22</v>
      </c>
      <c r="G34" s="35" t="n">
        <f aca="false">E34*(1+F34)</f>
        <v>256.2</v>
      </c>
      <c r="H34" s="35" t="n">
        <f aca="false">G34*D34/1000</f>
        <v>409.92</v>
      </c>
      <c r="I34" s="36"/>
      <c r="J34" s="37" t="str">
        <f aca="false">IF(I34="","",G34*INDEX('Category Markup Bands'!$G$2:$G$10,MATCH($A34,'Category Markup Bands'!$A$2:$A$10,0))*I34/1000)</f>
        <v/>
      </c>
      <c r="K34" s="33" t="n">
        <f aca="false">G34*(1-'Customer Tiers'!$C$3)</f>
        <v>235.704</v>
      </c>
      <c r="L34" s="33" t="n">
        <f aca="false">G34*(1-'Customer Tiers'!$C$4)</f>
        <v>217.77</v>
      </c>
    </row>
    <row r="35" customFormat="false" ht="15" hidden="false" customHeight="true" outlineLevel="0" collapsed="false">
      <c r="A35" s="29" t="s">
        <v>32</v>
      </c>
      <c r="B35" s="30" t="s">
        <v>151</v>
      </c>
      <c r="C35" s="31" t="s">
        <v>127</v>
      </c>
      <c r="D35" s="32" t="n">
        <f aca="false">INDEX('Category Markup Bands'!$B$2:$B$10,MATCH($A35,'Category Markup Bands'!$A$2:$A$10,0))</f>
        <v>1600</v>
      </c>
      <c r="E35" s="33" t="n">
        <f aca="false">INDEX('Category Markup Bands'!$C$2:$C$10,MATCH($A35,'Category Markup Bands'!$A$2:$A$10,0))</f>
        <v>210</v>
      </c>
      <c r="F35" s="34" t="n">
        <f aca="false">INDEX('Category Markup Bands'!$D$2:$D$10,MATCH($A35,'Category Markup Bands'!$A$2:$A$10,0))</f>
        <v>0.22</v>
      </c>
      <c r="G35" s="35" t="n">
        <f aca="false">E35*(1+F35)</f>
        <v>256.2</v>
      </c>
      <c r="H35" s="35" t="n">
        <f aca="false">G35*D35/1000</f>
        <v>409.92</v>
      </c>
      <c r="I35" s="36"/>
      <c r="J35" s="37" t="str">
        <f aca="false">IF(I35="","",G35*INDEX('Category Markup Bands'!$G$2:$G$10,MATCH($A35,'Category Markup Bands'!$A$2:$A$10,0))*I35/1000)</f>
        <v/>
      </c>
      <c r="K35" s="33" t="n">
        <f aca="false">G35*(1-'Customer Tiers'!$C$3)</f>
        <v>235.704</v>
      </c>
      <c r="L35" s="33" t="n">
        <f aca="false">G35*(1-'Customer Tiers'!$C$4)</f>
        <v>217.77</v>
      </c>
    </row>
    <row r="36" customFormat="false" ht="15" hidden="false" customHeight="true" outlineLevel="0" collapsed="false">
      <c r="A36" s="29" t="s">
        <v>33</v>
      </c>
      <c r="B36" s="30" t="s">
        <v>152</v>
      </c>
      <c r="C36" s="31" t="s">
        <v>127</v>
      </c>
      <c r="D36" s="32" t="n">
        <f aca="false">INDEX('Category Markup Bands'!$B$2:$B$10,MATCH($A36,'Category Markup Bands'!$A$2:$A$10,0))</f>
        <v>1500</v>
      </c>
      <c r="E36" s="33" t="n">
        <f aca="false">INDEX('Category Markup Bands'!$C$2:$C$10,MATCH($A36,'Category Markup Bands'!$A$2:$A$10,0))</f>
        <v>300</v>
      </c>
      <c r="F36" s="34" t="n">
        <f aca="false">INDEX('Category Markup Bands'!$D$2:$D$10,MATCH($A36,'Category Markup Bands'!$A$2:$A$10,0))</f>
        <v>0.3</v>
      </c>
      <c r="G36" s="35" t="n">
        <f aca="false">E36*(1+F36)</f>
        <v>390</v>
      </c>
      <c r="H36" s="35" t="n">
        <f aca="false">G36*D36/1000</f>
        <v>585</v>
      </c>
      <c r="I36" s="36"/>
      <c r="J36" s="37" t="str">
        <f aca="false">IF(I36="","",G36*INDEX('Category Markup Bands'!$G$2:$G$10,MATCH($A36,'Category Markup Bands'!$A$2:$A$10,0))*I36/1000)</f>
        <v/>
      </c>
      <c r="K36" s="33" t="n">
        <f aca="false">G36*(1-'Customer Tiers'!$C$3)</f>
        <v>358.8</v>
      </c>
      <c r="L36" s="33" t="n">
        <f aca="false">G36*(1-'Customer Tiers'!$C$4)</f>
        <v>331.5</v>
      </c>
    </row>
    <row r="37" customFormat="false" ht="15" hidden="false" customHeight="true" outlineLevel="0" collapsed="false">
      <c r="A37" s="29" t="s">
        <v>33</v>
      </c>
      <c r="B37" s="30" t="s">
        <v>153</v>
      </c>
      <c r="C37" s="31" t="s">
        <v>127</v>
      </c>
      <c r="D37" s="32" t="n">
        <f aca="false">INDEX('Category Markup Bands'!$B$2:$B$10,MATCH($A37,'Category Markup Bands'!$A$2:$A$10,0))</f>
        <v>1500</v>
      </c>
      <c r="E37" s="33" t="n">
        <f aca="false">INDEX('Category Markup Bands'!$C$2:$C$10,MATCH($A37,'Category Markup Bands'!$A$2:$A$10,0))</f>
        <v>300</v>
      </c>
      <c r="F37" s="34" t="n">
        <f aca="false">INDEX('Category Markup Bands'!$D$2:$D$10,MATCH($A37,'Category Markup Bands'!$A$2:$A$10,0))</f>
        <v>0.3</v>
      </c>
      <c r="G37" s="35" t="n">
        <f aca="false">E37*(1+F37)</f>
        <v>390</v>
      </c>
      <c r="H37" s="35" t="n">
        <f aca="false">G37*D37/1000</f>
        <v>585</v>
      </c>
      <c r="I37" s="36"/>
      <c r="J37" s="37" t="str">
        <f aca="false">IF(I37="","",G37*INDEX('Category Markup Bands'!$G$2:$G$10,MATCH($A37,'Category Markup Bands'!$A$2:$A$10,0))*I37/1000)</f>
        <v/>
      </c>
      <c r="K37" s="33" t="n">
        <f aca="false">G37*(1-'Customer Tiers'!$C$3)</f>
        <v>358.8</v>
      </c>
      <c r="L37" s="33" t="n">
        <f aca="false">G37*(1-'Customer Tiers'!$C$4)</f>
        <v>331.5</v>
      </c>
    </row>
    <row r="38" customFormat="false" ht="15" hidden="false" customHeight="true" outlineLevel="0" collapsed="false">
      <c r="A38" s="29" t="s">
        <v>33</v>
      </c>
      <c r="B38" s="30" t="s">
        <v>154</v>
      </c>
      <c r="C38" s="31" t="s">
        <v>127</v>
      </c>
      <c r="D38" s="32" t="n">
        <f aca="false">INDEX('Category Markup Bands'!$B$2:$B$10,MATCH($A38,'Category Markup Bands'!$A$2:$A$10,0))</f>
        <v>1500</v>
      </c>
      <c r="E38" s="33" t="n">
        <f aca="false">INDEX('Category Markup Bands'!$C$2:$C$10,MATCH($A38,'Category Markup Bands'!$A$2:$A$10,0))</f>
        <v>300</v>
      </c>
      <c r="F38" s="34" t="n">
        <f aca="false">INDEX('Category Markup Bands'!$D$2:$D$10,MATCH($A38,'Category Markup Bands'!$A$2:$A$10,0))</f>
        <v>0.3</v>
      </c>
      <c r="G38" s="35" t="n">
        <f aca="false">E38*(1+F38)</f>
        <v>390</v>
      </c>
      <c r="H38" s="35" t="n">
        <f aca="false">G38*D38/1000</f>
        <v>585</v>
      </c>
      <c r="I38" s="36"/>
      <c r="J38" s="37" t="str">
        <f aca="false">IF(I38="","",G38*INDEX('Category Markup Bands'!$G$2:$G$10,MATCH($A38,'Category Markup Bands'!$A$2:$A$10,0))*I38/1000)</f>
        <v/>
      </c>
      <c r="K38" s="33" t="n">
        <f aca="false">G38*(1-'Customer Tiers'!$C$3)</f>
        <v>358.8</v>
      </c>
      <c r="L38" s="33" t="n">
        <f aca="false">G38*(1-'Customer Tiers'!$C$4)</f>
        <v>331.5</v>
      </c>
    </row>
    <row r="39" customFormat="false" ht="15" hidden="false" customHeight="true" outlineLevel="0" collapsed="false">
      <c r="A39" s="29" t="s">
        <v>33</v>
      </c>
      <c r="B39" s="30" t="s">
        <v>155</v>
      </c>
      <c r="C39" s="31" t="s">
        <v>127</v>
      </c>
      <c r="D39" s="32" t="n">
        <f aca="false">INDEX('Category Markup Bands'!$B$2:$B$10,MATCH($A39,'Category Markup Bands'!$A$2:$A$10,0))</f>
        <v>1500</v>
      </c>
      <c r="E39" s="33" t="n">
        <f aca="false">INDEX('Category Markup Bands'!$C$2:$C$10,MATCH($A39,'Category Markup Bands'!$A$2:$A$10,0))</f>
        <v>300</v>
      </c>
      <c r="F39" s="34" t="n">
        <f aca="false">INDEX('Category Markup Bands'!$D$2:$D$10,MATCH($A39,'Category Markup Bands'!$A$2:$A$10,0))</f>
        <v>0.3</v>
      </c>
      <c r="G39" s="35" t="n">
        <f aca="false">E39*(1+F39)</f>
        <v>390</v>
      </c>
      <c r="H39" s="35" t="n">
        <f aca="false">G39*D39/1000</f>
        <v>585</v>
      </c>
      <c r="I39" s="36"/>
      <c r="J39" s="37" t="str">
        <f aca="false">IF(I39="","",G39*INDEX('Category Markup Bands'!$G$2:$G$10,MATCH($A39,'Category Markup Bands'!$A$2:$A$10,0))*I39/1000)</f>
        <v/>
      </c>
      <c r="K39" s="33" t="n">
        <f aca="false">G39*(1-'Customer Tiers'!$C$3)</f>
        <v>358.8</v>
      </c>
      <c r="L39" s="33" t="n">
        <f aca="false">G39*(1-'Customer Tiers'!$C$4)</f>
        <v>331.5</v>
      </c>
    </row>
    <row r="40" customFormat="false" ht="15" hidden="false" customHeight="true" outlineLevel="0" collapsed="false">
      <c r="A40" s="29" t="s">
        <v>34</v>
      </c>
      <c r="B40" s="30" t="s">
        <v>156</v>
      </c>
      <c r="C40" s="31" t="s">
        <v>144</v>
      </c>
      <c r="D40" s="32" t="n">
        <f aca="false">INDEX('Category Markup Bands'!$B$2:$B$10,MATCH($A40,'Category Markup Bands'!$A$2:$A$10,0))</f>
        <v>1500</v>
      </c>
      <c r="E40" s="33" t="n">
        <f aca="false">INDEX('Category Markup Bands'!$C$2:$C$10,MATCH($A40,'Category Markup Bands'!$A$2:$A$10,0))</f>
        <v>380</v>
      </c>
      <c r="F40" s="34" t="n">
        <f aca="false">INDEX('Category Markup Bands'!$D$2:$D$10,MATCH($A40,'Category Markup Bands'!$A$2:$A$10,0))</f>
        <v>0.55</v>
      </c>
      <c r="G40" s="35" t="n">
        <f aca="false">E40*(1+F40)</f>
        <v>589</v>
      </c>
      <c r="H40" s="35" t="n">
        <f aca="false">G40*D40/1000</f>
        <v>883.5</v>
      </c>
      <c r="I40" s="38" t="n">
        <v>20</v>
      </c>
      <c r="J40" s="37" t="n">
        <f aca="false">IF(I40="","",G40*INDEX('Category Markup Bands'!$G$2:$G$10,MATCH($A40,'Category Markup Bands'!$A$2:$A$10,0))*I40/1000)</f>
        <v>41.23</v>
      </c>
      <c r="K40" s="33" t="n">
        <f aca="false">G40*(1-'Customer Tiers'!$C$3)</f>
        <v>541.88</v>
      </c>
      <c r="L40" s="33" t="n">
        <f aca="false">G40*(1-'Customer Tiers'!$C$4)</f>
        <v>500.65</v>
      </c>
    </row>
    <row r="41" customFormat="false" ht="15" hidden="false" customHeight="true" outlineLevel="0" collapsed="false">
      <c r="A41" s="29" t="s">
        <v>34</v>
      </c>
      <c r="B41" s="30" t="s">
        <v>157</v>
      </c>
      <c r="C41" s="31" t="s">
        <v>144</v>
      </c>
      <c r="D41" s="32" t="n">
        <f aca="false">INDEX('Category Markup Bands'!$B$2:$B$10,MATCH($A41,'Category Markup Bands'!$A$2:$A$10,0))</f>
        <v>1500</v>
      </c>
      <c r="E41" s="33" t="n">
        <f aca="false">INDEX('Category Markup Bands'!$C$2:$C$10,MATCH($A41,'Category Markup Bands'!$A$2:$A$10,0))</f>
        <v>380</v>
      </c>
      <c r="F41" s="34" t="n">
        <f aca="false">INDEX('Category Markup Bands'!$D$2:$D$10,MATCH($A41,'Category Markup Bands'!$A$2:$A$10,0))</f>
        <v>0.55</v>
      </c>
      <c r="G41" s="35" t="n">
        <f aca="false">E41*(1+F41)</f>
        <v>589</v>
      </c>
      <c r="H41" s="35" t="n">
        <f aca="false">G41*D41/1000</f>
        <v>883.5</v>
      </c>
      <c r="I41" s="38" t="n">
        <v>20</v>
      </c>
      <c r="J41" s="37" t="n">
        <f aca="false">IF(I41="","",G41*INDEX('Category Markup Bands'!$G$2:$G$10,MATCH($A41,'Category Markup Bands'!$A$2:$A$10,0))*I41/1000)</f>
        <v>41.23</v>
      </c>
      <c r="K41" s="33" t="n">
        <f aca="false">G41*(1-'Customer Tiers'!$C$3)</f>
        <v>541.88</v>
      </c>
      <c r="L41" s="33" t="n">
        <f aca="false">G41*(1-'Customer Tiers'!$C$4)</f>
        <v>500.65</v>
      </c>
    </row>
    <row r="42" customFormat="false" ht="15" hidden="false" customHeight="true" outlineLevel="0" collapsed="false">
      <c r="A42" s="29" t="s">
        <v>34</v>
      </c>
      <c r="B42" s="30" t="s">
        <v>158</v>
      </c>
      <c r="C42" s="31" t="s">
        <v>144</v>
      </c>
      <c r="D42" s="32" t="n">
        <f aca="false">INDEX('Category Markup Bands'!$B$2:$B$10,MATCH($A42,'Category Markup Bands'!$A$2:$A$10,0))</f>
        <v>1500</v>
      </c>
      <c r="E42" s="33" t="n">
        <f aca="false">INDEX('Category Markup Bands'!$C$2:$C$10,MATCH($A42,'Category Markup Bands'!$A$2:$A$10,0))</f>
        <v>380</v>
      </c>
      <c r="F42" s="34" t="n">
        <f aca="false">INDEX('Category Markup Bands'!$D$2:$D$10,MATCH($A42,'Category Markup Bands'!$A$2:$A$10,0))</f>
        <v>0.55</v>
      </c>
      <c r="G42" s="35" t="n">
        <f aca="false">E42*(1+F42)</f>
        <v>589</v>
      </c>
      <c r="H42" s="35" t="n">
        <f aca="false">G42*D42/1000</f>
        <v>883.5</v>
      </c>
      <c r="I42" s="38" t="n">
        <v>20</v>
      </c>
      <c r="J42" s="37" t="n">
        <f aca="false">IF(I42="","",G42*INDEX('Category Markup Bands'!$G$2:$G$10,MATCH($A42,'Category Markup Bands'!$A$2:$A$10,0))*I42/1000)</f>
        <v>41.23</v>
      </c>
      <c r="K42" s="33" t="n">
        <f aca="false">G42*(1-'Customer Tiers'!$C$3)</f>
        <v>541.88</v>
      </c>
      <c r="L42" s="33" t="n">
        <f aca="false">G42*(1-'Customer Tiers'!$C$4)</f>
        <v>500.65</v>
      </c>
    </row>
    <row r="43" customFormat="false" ht="15" hidden="false" customHeight="true" outlineLevel="0" collapsed="false">
      <c r="A43" s="29" t="s">
        <v>34</v>
      </c>
      <c r="B43" s="30" t="s">
        <v>159</v>
      </c>
      <c r="C43" s="31" t="s">
        <v>144</v>
      </c>
      <c r="D43" s="32" t="n">
        <f aca="false">INDEX('Category Markup Bands'!$B$2:$B$10,MATCH($A43,'Category Markup Bands'!$A$2:$A$10,0))</f>
        <v>1500</v>
      </c>
      <c r="E43" s="33" t="n">
        <f aca="false">INDEX('Category Markup Bands'!$C$2:$C$10,MATCH($A43,'Category Markup Bands'!$A$2:$A$10,0))</f>
        <v>380</v>
      </c>
      <c r="F43" s="34" t="n">
        <f aca="false">INDEX('Category Markup Bands'!$D$2:$D$10,MATCH($A43,'Category Markup Bands'!$A$2:$A$10,0))</f>
        <v>0.55</v>
      </c>
      <c r="G43" s="35" t="n">
        <f aca="false">E43*(1+F43)</f>
        <v>589</v>
      </c>
      <c r="H43" s="35" t="n">
        <f aca="false">G43*D43/1000</f>
        <v>883.5</v>
      </c>
      <c r="I43" s="38" t="n">
        <v>20</v>
      </c>
      <c r="J43" s="37" t="n">
        <f aca="false">IF(I43="","",G43*INDEX('Category Markup Bands'!$G$2:$G$10,MATCH($A43,'Category Markup Bands'!$A$2:$A$10,0))*I43/1000)</f>
        <v>41.23</v>
      </c>
      <c r="K43" s="33" t="n">
        <f aca="false">G43*(1-'Customer Tiers'!$C$3)</f>
        <v>541.88</v>
      </c>
      <c r="L43" s="33" t="n">
        <f aca="false">G43*(1-'Customer Tiers'!$C$4)</f>
        <v>500.65</v>
      </c>
    </row>
    <row r="44" customFormat="false" ht="15" hidden="false" customHeight="true" outlineLevel="0" collapsed="false">
      <c r="A44" s="29" t="s">
        <v>19</v>
      </c>
      <c r="B44" s="30" t="s">
        <v>160</v>
      </c>
      <c r="C44" s="31" t="s">
        <v>161</v>
      </c>
      <c r="D44" s="32" t="n">
        <f aca="false">INDEX('Category Markup Bands'!$B$2:$B$10,MATCH($A44,'Category Markup Bands'!$A$2:$A$10,0))</f>
        <v>900</v>
      </c>
      <c r="E44" s="33" t="n">
        <f aca="false">INDEX('Category Markup Bands'!$C$2:$C$10,MATCH($A44,'Category Markup Bands'!$A$2:$A$10,0))</f>
        <v>700</v>
      </c>
      <c r="F44" s="34" t="n">
        <f aca="false">INDEX('Category Markup Bands'!$D$2:$D$10,MATCH($A44,'Category Markup Bands'!$A$2:$A$10,0))</f>
        <v>0.35</v>
      </c>
      <c r="G44" s="35" t="n">
        <f aca="false">E44*(1+F44)</f>
        <v>945</v>
      </c>
      <c r="H44" s="35" t="n">
        <f aca="false">G44*D44/1000</f>
        <v>850.5</v>
      </c>
      <c r="I44" s="38" t="n">
        <v>25</v>
      </c>
      <c r="J44" s="37" t="n">
        <f aca="false">IF(I44="","",G44*INDEX('Category Markup Bands'!$G$2:$G$10,MATCH($A44,'Category Markup Bands'!$A$2:$A$10,0))*I44/1000)</f>
        <v>51.975</v>
      </c>
      <c r="K44" s="33" t="n">
        <f aca="false">G44*(1-'Customer Tiers'!$C$3)</f>
        <v>869.4</v>
      </c>
      <c r="L44" s="33" t="n">
        <f aca="false">G44*(1-'Customer Tiers'!$C$4)</f>
        <v>803.25</v>
      </c>
    </row>
    <row r="45" customFormat="false" ht="15" hidden="false" customHeight="true" outlineLevel="0" collapsed="false">
      <c r="A45" s="29" t="s">
        <v>19</v>
      </c>
      <c r="B45" s="30" t="s">
        <v>162</v>
      </c>
      <c r="C45" s="31" t="s">
        <v>161</v>
      </c>
      <c r="D45" s="32" t="n">
        <f aca="false">INDEX('Category Markup Bands'!$B$2:$B$10,MATCH($A45,'Category Markup Bands'!$A$2:$A$10,0))</f>
        <v>900</v>
      </c>
      <c r="E45" s="33" t="n">
        <f aca="false">INDEX('Category Markup Bands'!$C$2:$C$10,MATCH($A45,'Category Markup Bands'!$A$2:$A$10,0))</f>
        <v>700</v>
      </c>
      <c r="F45" s="34" t="n">
        <f aca="false">INDEX('Category Markup Bands'!$D$2:$D$10,MATCH($A45,'Category Markup Bands'!$A$2:$A$10,0))</f>
        <v>0.35</v>
      </c>
      <c r="G45" s="35" t="n">
        <f aca="false">E45*(1+F45)</f>
        <v>945</v>
      </c>
      <c r="H45" s="35" t="n">
        <f aca="false">G45*D45/1000</f>
        <v>850.5</v>
      </c>
      <c r="I45" s="38" t="n">
        <v>25</v>
      </c>
      <c r="J45" s="37" t="n">
        <f aca="false">IF(I45="","",G45*INDEX('Category Markup Bands'!$G$2:$G$10,MATCH($A45,'Category Markup Bands'!$A$2:$A$10,0))*I45/1000)</f>
        <v>51.975</v>
      </c>
      <c r="K45" s="33" t="n">
        <f aca="false">G45*(1-'Customer Tiers'!$C$3)</f>
        <v>869.4</v>
      </c>
      <c r="L45" s="33" t="n">
        <f aca="false">G45*(1-'Customer Tiers'!$C$4)</f>
        <v>803.25</v>
      </c>
    </row>
    <row r="46" customFormat="false" ht="15" hidden="false" customHeight="true" outlineLevel="0" collapsed="false">
      <c r="A46" s="29" t="s">
        <v>19</v>
      </c>
      <c r="B46" s="30" t="s">
        <v>163</v>
      </c>
      <c r="C46" s="31" t="s">
        <v>164</v>
      </c>
      <c r="D46" s="32" t="n">
        <f aca="false">INDEX('Category Markup Bands'!$B$2:$B$10,MATCH($A46,'Category Markup Bands'!$A$2:$A$10,0))</f>
        <v>900</v>
      </c>
      <c r="E46" s="33" t="n">
        <f aca="false">INDEX('Category Markup Bands'!$C$2:$C$10,MATCH($A46,'Category Markup Bands'!$A$2:$A$10,0))</f>
        <v>700</v>
      </c>
      <c r="F46" s="34" t="n">
        <f aca="false">INDEX('Category Markup Bands'!$D$2:$D$10,MATCH($A46,'Category Markup Bands'!$A$2:$A$10,0))</f>
        <v>0.35</v>
      </c>
      <c r="G46" s="35" t="n">
        <f aca="false">E46*(1+F46)</f>
        <v>945</v>
      </c>
      <c r="H46" s="35" t="n">
        <f aca="false">G46*D46/1000</f>
        <v>850.5</v>
      </c>
      <c r="I46" s="38" t="n">
        <v>25</v>
      </c>
      <c r="J46" s="37" t="n">
        <f aca="false">IF(I46="","",G46*INDEX('Category Markup Bands'!$G$2:$G$10,MATCH($A46,'Category Markup Bands'!$A$2:$A$10,0))*I46/1000)</f>
        <v>51.975</v>
      </c>
      <c r="K46" s="33" t="n">
        <f aca="false">G46*(1-'Customer Tiers'!$C$3)</f>
        <v>869.4</v>
      </c>
      <c r="L46" s="33" t="n">
        <f aca="false">G46*(1-'Customer Tiers'!$C$4)</f>
        <v>803.25</v>
      </c>
    </row>
    <row r="47" customFormat="false" ht="15" hidden="false" customHeight="true" outlineLevel="0" collapsed="false">
      <c r="A47" s="29" t="s">
        <v>35</v>
      </c>
      <c r="B47" s="30" t="s">
        <v>165</v>
      </c>
      <c r="C47" s="31" t="s">
        <v>127</v>
      </c>
      <c r="D47" s="32" t="n">
        <f aca="false">INDEX('Category Markup Bands'!$B$2:$B$10,MATCH($A47,'Category Markup Bands'!$A$2:$A$10,0))</f>
        <v>1500</v>
      </c>
      <c r="E47" s="33" t="n">
        <f aca="false">INDEX('Category Markup Bands'!$C$2:$C$10,MATCH($A47,'Category Markup Bands'!$A$2:$A$10,0))</f>
        <v>90</v>
      </c>
      <c r="F47" s="34" t="n">
        <f aca="false">INDEX('Category Markup Bands'!$D$2:$D$10,MATCH($A47,'Category Markup Bands'!$A$2:$A$10,0))</f>
        <v>0.15</v>
      </c>
      <c r="G47" s="35" t="n">
        <f aca="false">E47*(1+F47)</f>
        <v>103.5</v>
      </c>
      <c r="H47" s="35" t="n">
        <f aca="false">G47*D47/1000</f>
        <v>155.25</v>
      </c>
      <c r="I47" s="36"/>
      <c r="J47" s="37" t="str">
        <f aca="false">IF(I47="","",G47*INDEX('Category Markup Bands'!$G$2:$G$10,MATCH($A47,'Category Markup Bands'!$A$2:$A$10,0))*I47/1000)</f>
        <v/>
      </c>
      <c r="K47" s="33" t="n">
        <f aca="false">G47*(1-'Customer Tiers'!$C$3)</f>
        <v>95.22</v>
      </c>
      <c r="L47" s="33" t="n">
        <f aca="false">G47*(1-'Customer Tiers'!$C$4)</f>
        <v>87.975</v>
      </c>
    </row>
    <row r="48" customFormat="false" ht="15" hidden="false" customHeight="true" outlineLevel="0" collapsed="false">
      <c r="A48" s="29" t="s">
        <v>35</v>
      </c>
      <c r="B48" s="30" t="s">
        <v>166</v>
      </c>
      <c r="C48" s="31" t="s">
        <v>127</v>
      </c>
      <c r="D48" s="32" t="n">
        <f aca="false">INDEX('Category Markup Bands'!$B$2:$B$10,MATCH($A48,'Category Markup Bands'!$A$2:$A$10,0))</f>
        <v>1500</v>
      </c>
      <c r="E48" s="33" t="n">
        <f aca="false">INDEX('Category Markup Bands'!$C$2:$C$10,MATCH($A48,'Category Markup Bands'!$A$2:$A$10,0))</f>
        <v>90</v>
      </c>
      <c r="F48" s="34" t="n">
        <f aca="false">INDEX('Category Markup Bands'!$D$2:$D$10,MATCH($A48,'Category Markup Bands'!$A$2:$A$10,0))</f>
        <v>0.15</v>
      </c>
      <c r="G48" s="35" t="n">
        <f aca="false">E48*(1+F48)</f>
        <v>103.5</v>
      </c>
      <c r="H48" s="35" t="n">
        <f aca="false">G48*D48/1000</f>
        <v>155.25</v>
      </c>
      <c r="I48" s="36"/>
      <c r="J48" s="37" t="str">
        <f aca="false">IF(I48="","",G48*INDEX('Category Markup Bands'!$G$2:$G$10,MATCH($A48,'Category Markup Bands'!$A$2:$A$10,0))*I48/1000)</f>
        <v/>
      </c>
      <c r="K48" s="33" t="n">
        <f aca="false">G48*(1-'Customer Tiers'!$C$3)</f>
        <v>95.22</v>
      </c>
      <c r="L48" s="33" t="n">
        <f aca="false">G48*(1-'Customer Tiers'!$C$4)</f>
        <v>87.975</v>
      </c>
    </row>
    <row r="49" customFormat="false" ht="15" hidden="false" customHeight="true" outlineLevel="0" collapsed="false">
      <c r="A49" s="29" t="s">
        <v>35</v>
      </c>
      <c r="B49" s="30" t="s">
        <v>167</v>
      </c>
      <c r="C49" s="31" t="s">
        <v>127</v>
      </c>
      <c r="D49" s="32" t="n">
        <f aca="false">INDEX('Category Markup Bands'!$B$2:$B$10,MATCH($A49,'Category Markup Bands'!$A$2:$A$10,0))</f>
        <v>1500</v>
      </c>
      <c r="E49" s="33" t="n">
        <f aca="false">INDEX('Category Markup Bands'!$C$2:$C$10,MATCH($A49,'Category Markup Bands'!$A$2:$A$10,0))</f>
        <v>90</v>
      </c>
      <c r="F49" s="34" t="n">
        <f aca="false">INDEX('Category Markup Bands'!$D$2:$D$10,MATCH($A49,'Category Markup Bands'!$A$2:$A$10,0))</f>
        <v>0.15</v>
      </c>
      <c r="G49" s="35" t="n">
        <f aca="false">E49*(1+F49)</f>
        <v>103.5</v>
      </c>
      <c r="H49" s="35" t="n">
        <f aca="false">G49*D49/1000</f>
        <v>155.25</v>
      </c>
      <c r="I49" s="36"/>
      <c r="J49" s="37" t="str">
        <f aca="false">IF(I49="","",G49*INDEX('Category Markup Bands'!$G$2:$G$10,MATCH($A49,'Category Markup Bands'!$A$2:$A$10,0))*I49/1000)</f>
        <v/>
      </c>
      <c r="K49" s="33" t="n">
        <f aca="false">G49*(1-'Customer Tiers'!$C$3)</f>
        <v>95.22</v>
      </c>
      <c r="L49" s="33" t="n">
        <f aca="false">G49*(1-'Customer Tiers'!$C$4)</f>
        <v>87.975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2026-08-18T14:18:21Z</dcterms:created>
  <dc:creator>openpyxl</dc:creator>
  <dc:description/>
  <dc:language>en-US</dc:language>
  <cp:lastModifiedBy/>
  <dcterms:modified xsi:type="dcterms:W3CDTF">2026-08-18T14:20:11Z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